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08ce0f4864c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rtificate &amp; Survey Tracker" sheetId="1" r:id="Rf94e130da90b4eb8"/>
    <x:sheet xmlns:r="http://schemas.openxmlformats.org/officeDocument/2006/relationships" name="Actionable Items" sheetId="2" r:id="Rd926f93759a942b5"/>
    <x:sheet xmlns:r="http://schemas.openxmlformats.org/officeDocument/2006/relationships" name="Summary" sheetId="3" r:id="Ra4c6394022564a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dd mmm yyyy"/>
  </x:numFmts>
  <x:fonts count="15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i/>
      <x:sz val="11"/>
      <x:color rgb="334155"/>
      <x:name val="Carlito"/>
    </x:font>
    <x:font>
      <x:b/>
      <x:sz val="11"/>
      <x:color rgb="1F4E78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  <x:font>
      <x:sz val="11"/>
      <x:color rgb="666666"/>
      <x:name val="Carlito"/>
    </x:font>
    <x:font>
      <x:b/>
      <x:i/>
      <x:sz val="11"/>
      <x:color rgb="000000"/>
      <x:name val="Carlito"/>
    </x:font>
    <x:font>
      <x:b/>
      <x:sz val="11"/>
      <x:color rgb="006100"/>
      <x:name val="Carlito"/>
    </x:font>
    <x:font>
      <x:b/>
      <x:sz val="11"/>
      <x:color rgb="375623"/>
      <x:name val="Carlito"/>
    </x:font>
    <x:font>
      <x:b/>
      <x:sz val="11"/>
      <x:color rgb="9C6500"/>
      <x:name val="Carlito"/>
    </x:font>
    <x:font>
      <x:b/>
      <x:sz val="11"/>
      <x:color rgb="7C2D12"/>
      <x:name val="Carlito"/>
    </x:font>
    <x:font>
      <x:b/>
      <x:sz val="11"/>
      <x:color rgb="1F2937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34E4A"/>
      </x:patternFill>
    </x:fill>
    <x:fill>
      <x:patternFill patternType="solid">
        <x:fgColor rgb="115E59"/>
      </x:patternFill>
    </x:fill>
    <x:fill>
      <x:patternFill patternType="solid">
        <x:fgColor rgb="E0F2F1"/>
      </x:patternFill>
    </x:fill>
    <x:fill>
      <x:patternFill patternType="solid">
        <x:fgColor rgb="F8FAFC"/>
      </x:patternFill>
    </x:fill>
    <x:fill>
      <x:patternFill patternType="solid">
        <x:fgColor rgb="1F4E78"/>
      </x:patternFill>
    </x:fill>
    <x:fill>
      <x:patternFill patternType="solid">
        <x:fgColor rgb="17365D"/>
      </x:patternFill>
    </x:fill>
    <x:fill>
      <x:patternFill patternType="solid">
        <x:fgColor rgb="D9EAF7"/>
      </x:patternFill>
    </x:fill>
    <x:fill>
      <x:patternFill patternType="solid">
        <x:fgColor rgb="FFFFFF"/>
      </x:patternFill>
    </x:fill>
    <x:fill>
      <x:patternFill patternType="solid">
        <x:fgColor rgb="C6EFCE"/>
      </x:patternFill>
    </x:fill>
    <x:fill>
      <x:patternFill patternType="solid">
        <x:fgColor rgb="E7E6E6"/>
      </x:patternFill>
    </x:fill>
    <x:fill>
      <x:patternFill patternType="solid">
        <x:fgColor rgb="FFF2CC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FFF"/>
      </x:patternFill>
    </x:fill>
    <x:fill>
      <x:patternFill patternType="solid">
        <x:fgColor rgb="C6EFCE"/>
      </x:patternFill>
    </x:fill>
    <x:fill>
      <x:patternFill patternType="solid">
        <x:fgColor rgb="D9E1F2"/>
      </x:patternFill>
    </x:fill>
    <x:fill>
      <x:patternFill patternType="solid">
        <x:fgColor rgb="E2F0D9"/>
      </x:patternFill>
    </x:fill>
    <x:fill>
      <x:patternFill patternType="solid">
        <x:fgColor rgb="FFEB9C"/>
      </x:patternFill>
    </x:fill>
    <x:fill>
      <x:patternFill patternType="solid">
        <x:fgColor rgb="0F766E"/>
      </x:patternFill>
    </x:fill>
    <x:fill>
      <x:patternFill patternType="solid">
        <x:fgColor rgb="FEF3C7"/>
      </x:patternFill>
    </x:fill>
    <x:fill>
      <x:patternFill patternType="solid">
        <x:fgColor rgb="D9EAD3"/>
      </x:patternFill>
    </x:fill>
    <x:fill>
      <x:patternFill patternType="solid">
        <x:fgColor rgb="FEE2E2"/>
      </x:patternFill>
    </x:fill>
    <x:fill>
      <x:patternFill patternType="solid">
        <x:fgColor rgb="E0F2FE"/>
      </x:patternFill>
    </x:fill>
  </x:fills>
  <x:borders count="11">
    <x:border/>
    <x:border/>
    <x:border>
      <x:right>
        <x:color rgb="D9EAD3"/>
      </x:right>
      <x:bottom>
        <x:color rgb="D9EAD3"/>
      </x:bottom>
    </x:border>
    <x:border>
      <x:left>
        <x:color rgb="D9EAD3"/>
      </x:left>
      <x:right>
        <x:color rgb="D9EAD3"/>
      </x:right>
      <x:bottom>
        <x:color rgb="D9EAD3"/>
      </x:bottom>
    </x:border>
    <x:border>
      <x:left>
        <x:color rgb="D9EAD3"/>
      </x:left>
      <x:bottom>
        <x:color rgb="D9EAD3"/>
      </x:bottom>
    </x:border>
    <x:border>
      <x:right>
        <x:color rgb="D9EAD3"/>
      </x:right>
      <x:top>
        <x:color rgb="D9EAD3"/>
      </x:top>
      <x:bottom>
        <x:color rgb="D9EAD3"/>
      </x:bottom>
    </x:border>
    <x:border>
      <x:left>
        <x:color rgb="D9EAD3"/>
      </x:left>
      <x:right>
        <x:color rgb="D9EAD3"/>
      </x:right>
      <x:top>
        <x:color rgb="D9EAD3"/>
      </x:top>
      <x:bottom>
        <x:color rgb="D9EAD3"/>
      </x:bottom>
    </x:border>
    <x:border>
      <x:left>
        <x:color rgb="D9EAD3"/>
      </x:left>
      <x:top>
        <x:color rgb="D9EAD3"/>
      </x:top>
      <x:bottom>
        <x:color rgb="D9EAD3"/>
      </x:bottom>
    </x:border>
    <x:border>
      <x:right>
        <x:color rgb="D9EAD3"/>
      </x:right>
      <x:top>
        <x:color rgb="D9EAD3"/>
      </x:top>
    </x:border>
    <x:border>
      <x:left>
        <x:color rgb="D9EAD3"/>
      </x:left>
      <x:right>
        <x:color rgb="D9EAD3"/>
      </x:right>
      <x:top>
        <x:color rgb="D9EAD3"/>
      </x:top>
    </x:border>
    <x:border>
      <x:left>
        <x:color rgb="D9EAD3"/>
      </x:left>
      <x:top>
        <x:color rgb="D9EAD3"/>
      </x:top>
    </x:border>
  </x:borders>
  <x:cellStyleXfs count="1">
    <x:xf numFmtId="0" fontId="0" fillId="0" borderId="0"/>
  </x:cellStyleXfs>
  <x:cellXfs count="2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 vertical="center"/>
    </x:xf>
    <x:xf numFmtId="200" fontId="2" fillId="4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0" fontId="2" fillId="3" borderId="1" xfId="0" applyNumberFormat="1" applyFont="1" applyFill="1" applyBorder="1" applyAlignment="1">
      <x:alignment horizontal="center" vertical="center"/>
    </x:xf>
    <x:xf numFmtId="200" fontId="2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200" fontId="2" fillId="3" borderId="0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200" fontId="2" fillId="4" borderId="0" xfId="0" applyNumberFormat="1" applyFont="1" applyFill="1" applyBorder="1" applyAlignment="1">
      <x:alignment horizontal="center" vertical="top" wrapText="1"/>
    </x:xf>
    <x:xf numFmtId="0" fontId="2" fillId="9" borderId="0" xfId="0" applyNumberFormat="1" applyFont="1" applyFill="1" applyBorder="1" applyAlignment="1">
      <x:alignment horizontal="center" vertical="top" wrapText="1"/>
    </x:xf>
    <x:xf numFmtId="0" fontId="5" fillId="9" borderId="0" xfId="0" applyNumberFormat="1" applyFont="1" applyFill="1" applyBorder="1" applyAlignment="1">
      <x:alignment horizontal="center" vertical="top" wrapText="1"/>
    </x:xf>
    <x:xf numFmtId="0" fontId="5" fillId="9" borderId="0" xfId="0" applyNumberFormat="1" applyFont="1" applyFill="1" applyBorder="1" applyAlignment="1">
      <x:alignment horizontal="left" vertical="top" wrapText="1"/>
    </x:xf>
    <x:xf numFmtId="0" fontId="2" fillId="7" borderId="0" xfId="0" applyNumberFormat="1" applyFont="1" applyFill="1" applyBorder="1" applyAlignment="1">
      <x:alignment horizontal="center" vertical="top" wrapText="1"/>
    </x:xf>
    <x:xf numFmtId="200" fontId="2" fillId="7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200" fontId="2" fillId="7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top" wrapText="1"/>
    </x:xf>
    <x:xf numFmtId="200" fontId="0" fillId="10" borderId="0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horizontal="left" vertical="top" wrapText="1"/>
    </x:xf>
    <x:xf numFmtId="0" fontId="2" fillId="10" borderId="0" xfId="0" applyNumberFormat="1" applyFont="1" applyFill="1" applyBorder="1" applyAlignment="1">
      <x:alignment horizontal="center" vertical="top" wrapText="1"/>
    </x:xf>
    <x:xf numFmtId="200" fontId="2" fillId="10" borderId="0" xfId="0" applyNumberFormat="1" applyFont="1" applyFill="1" applyBorder="1" applyAlignment="1">
      <x:alignment horizontal="center" vertical="top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200" fontId="2" fillId="10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vertical="top" wrapText="1"/>
    </x:xf>
    <x:xf numFmtId="200" fontId="6" fillId="10" borderId="0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horizontal="left" vertical="top" wrapText="1"/>
    </x:xf>
    <x:xf numFmtId="0" fontId="7" fillId="10" borderId="0" xfId="0" applyNumberFormat="1" applyFont="1" applyFill="1" applyBorder="1" applyAlignment="1">
      <x:alignment horizontal="center" vertical="top" wrapText="1"/>
    </x:xf>
    <x:xf numFmtId="200" fontId="7" fillId="10" borderId="0" xfId="0" applyNumberFormat="1" applyFont="1" applyFill="1" applyBorder="1" applyAlignment="1">
      <x:alignment horizontal="center" vertical="top"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200" fontId="7" fillId="10" borderId="0" xfId="0" applyNumberFormat="1" applyFont="1" applyFill="1" applyBorder="1" applyAlignment="1">
      <x:alignment horizontal="center" vertical="center" wrapText="1"/>
    </x:xf>
    <x:xf numFmtId="0" fontId="6" fillId="11" borderId="0" xfId="0" applyNumberFormat="1" applyFont="1" applyFill="1" applyBorder="1" applyAlignment="1">
      <x:alignment vertical="top" wrapText="1"/>
    </x:xf>
    <x:xf numFmtId="200" fontId="6" fillId="11" borderId="0" xfId="0" applyNumberFormat="1" applyFont="1" applyFill="1" applyBorder="1" applyAlignment="1">
      <x:alignment vertical="top" wrapText="1"/>
    </x:xf>
    <x:xf numFmtId="0" fontId="6" fillId="12" borderId="0" xfId="0" applyNumberFormat="1" applyFont="1" applyFill="1" applyBorder="1" applyAlignment="1">
      <x:alignment vertical="top" wrapText="1"/>
    </x:xf>
    <x:xf numFmtId="200" fontId="6" fillId="12" borderId="0" xfId="0" applyNumberFormat="1" applyFont="1" applyFill="1" applyBorder="1" applyAlignment="1">
      <x:alignment vertical="top" wrapText="1"/>
    </x:xf>
    <x:xf numFmtId="0" fontId="8" fillId="12" borderId="0" xfId="0" applyNumberFormat="1" applyFont="1" applyFill="1" applyBorder="1" applyAlignment="1">
      <x:alignment vertical="top" wrapText="1"/>
    </x:xf>
    <x:xf numFmtId="200" fontId="8" fillId="12" borderId="0" xfId="0" applyNumberFormat="1" applyFont="1" applyFill="1" applyBorder="1" applyAlignment="1">
      <x:alignment vertical="top" wrapText="1"/>
    </x:xf>
    <x:xf numFmtId="0" fontId="6" fillId="13" borderId="0" xfId="0" applyNumberFormat="1" applyFont="1" applyFill="1" applyBorder="1" applyAlignment="1">
      <x:alignment vertical="top" wrapText="1"/>
    </x:xf>
    <x:xf numFmtId="200" fontId="6" fillId="13" borderId="0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201" fontId="6" fillId="11" borderId="0" xfId="0" applyNumberFormat="1" applyFont="1" applyFill="1" applyBorder="1" applyAlignment="1">
      <x:alignment vertical="top" wrapText="1"/>
    </x:xf>
    <x:xf numFmtId="201" fontId="8" fillId="12" borderId="0" xfId="0" applyNumberFormat="1" applyFont="1" applyFill="1" applyBorder="1" applyAlignment="1">
      <x:alignment vertical="top" wrapText="1"/>
    </x:xf>
    <x:xf numFmtId="201" fontId="6" fillId="10" borderId="0" xfId="0" applyNumberFormat="1" applyFont="1" applyFill="1" applyBorder="1" applyAlignment="1">
      <x:alignment vertical="top" wrapText="1"/>
    </x:xf>
    <x:xf numFmtId="201" fontId="7" fillId="10" borderId="0" xfId="0" applyNumberFormat="1" applyFont="1" applyFill="1" applyBorder="1" applyAlignment="1">
      <x:alignment horizontal="center" vertical="top" wrapText="1"/>
    </x:xf>
    <x:xf numFmtId="201" fontId="7" fillId="10" borderId="0" xfId="0" applyNumberFormat="1" applyFont="1" applyFill="1" applyBorder="1" applyAlignment="1">
      <x:alignment horizontal="center" vertical="center" wrapText="1"/>
    </x:xf>
    <x:xf numFmtId="201" fontId="6" fillId="13" borderId="0" xfId="0" applyNumberFormat="1" applyFont="1" applyFill="1" applyBorder="1" applyAlignment="1">
      <x:alignment vertical="top" wrapText="1"/>
    </x:xf>
    <x:xf numFmtId="0" fontId="6" fillId="11" borderId="2" xfId="0" applyNumberFormat="1" applyFont="1" applyFill="1" applyBorder="1" applyAlignment="1">
      <x:alignment vertical="top" wrapText="1"/>
    </x:xf>
    <x:xf numFmtId="0" fontId="6" fillId="11" borderId="3" xfId="0" applyNumberFormat="1" applyFont="1" applyFill="1" applyBorder="1" applyAlignment="1">
      <x:alignment vertical="top" wrapText="1"/>
    </x:xf>
    <x:xf numFmtId="201" fontId="6" fillId="11" borderId="3" xfId="0" applyNumberFormat="1" applyFont="1" applyFill="1" applyBorder="1" applyAlignment="1">
      <x:alignment vertical="top" wrapText="1"/>
    </x:xf>
    <x:xf numFmtId="0" fontId="6" fillId="11" borderId="4" xfId="0" applyNumberFormat="1" applyFont="1" applyFill="1" applyBorder="1" applyAlignment="1">
      <x:alignment vertical="top" wrapText="1"/>
    </x:xf>
    <x:xf numFmtId="0" fontId="6" fillId="11" borderId="5" xfId="0" applyNumberFormat="1" applyFont="1" applyFill="1" applyBorder="1" applyAlignment="1">
      <x:alignment vertical="top" wrapText="1"/>
    </x:xf>
    <x:xf numFmtId="0" fontId="6" fillId="11" borderId="6" xfId="0" applyNumberFormat="1" applyFont="1" applyFill="1" applyBorder="1" applyAlignment="1">
      <x:alignment vertical="top" wrapText="1"/>
    </x:xf>
    <x:xf numFmtId="201" fontId="6" fillId="11" borderId="6" xfId="0" applyNumberFormat="1" applyFont="1" applyFill="1" applyBorder="1" applyAlignment="1">
      <x:alignment vertical="top" wrapText="1"/>
    </x:xf>
    <x:xf numFmtId="0" fontId="6" fillId="11" borderId="7" xfId="0" applyNumberFormat="1" applyFont="1" applyFill="1" applyBorder="1" applyAlignment="1">
      <x:alignment vertical="top" wrapText="1"/>
    </x:xf>
    <x:xf numFmtId="0" fontId="8" fillId="12" borderId="5" xfId="0" applyNumberFormat="1" applyFont="1" applyFill="1" applyBorder="1" applyAlignment="1">
      <x:alignment vertical="top" wrapText="1"/>
    </x:xf>
    <x:xf numFmtId="0" fontId="8" fillId="12" borderId="6" xfId="0" applyNumberFormat="1" applyFont="1" applyFill="1" applyBorder="1" applyAlignment="1">
      <x:alignment vertical="top" wrapText="1"/>
    </x:xf>
    <x:xf numFmtId="201" fontId="8" fillId="12" borderId="6" xfId="0" applyNumberFormat="1" applyFont="1" applyFill="1" applyBorder="1" applyAlignment="1">
      <x:alignment vertical="top" wrapText="1"/>
    </x:xf>
    <x:xf numFmtId="0" fontId="8" fillId="12" borderId="7" xfId="0" applyNumberFormat="1" applyFont="1" applyFill="1" applyBorder="1" applyAlignment="1">
      <x:alignment vertical="top" wrapText="1"/>
    </x:xf>
    <x:xf numFmtId="0" fontId="6" fillId="10" borderId="5" xfId="0" applyNumberFormat="1" applyFont="1" applyFill="1" applyBorder="1" applyAlignment="1">
      <x:alignment vertical="top" wrapText="1"/>
    </x:xf>
    <x:xf numFmtId="0" fontId="6" fillId="10" borderId="6" xfId="0" applyNumberFormat="1" applyFont="1" applyFill="1" applyBorder="1" applyAlignment="1">
      <x:alignment vertical="top" wrapText="1"/>
    </x:xf>
    <x:xf numFmtId="201" fontId="6" fillId="10" borderId="6" xfId="0" applyNumberFormat="1" applyFont="1" applyFill="1" applyBorder="1" applyAlignment="1">
      <x:alignment vertical="top" wrapText="1"/>
    </x:xf>
    <x:xf numFmtId="0" fontId="6" fillId="10" borderId="7" xfId="0" applyNumberFormat="1" applyFont="1" applyFill="1" applyBorder="1" applyAlignment="1">
      <x:alignment vertical="top" wrapText="1"/>
    </x:xf>
    <x:xf numFmtId="0" fontId="7" fillId="10" borderId="5" xfId="0" applyNumberFormat="1" applyFont="1" applyFill="1" applyBorder="1" applyAlignment="1">
      <x:alignment horizontal="left" vertical="top" wrapText="1"/>
    </x:xf>
    <x:xf numFmtId="0" fontId="7" fillId="10" borderId="6" xfId="0" applyNumberFormat="1" applyFont="1" applyFill="1" applyBorder="1" applyAlignment="1">
      <x:alignment horizontal="center" vertical="top" wrapText="1"/>
    </x:xf>
    <x:xf numFmtId="201" fontId="7" fillId="10" borderId="6" xfId="0" applyNumberFormat="1" applyFont="1" applyFill="1" applyBorder="1" applyAlignment="1">
      <x:alignment horizontal="center" vertical="top" wrapText="1"/>
    </x:xf>
    <x:xf numFmtId="0" fontId="7" fillId="10" borderId="5" xfId="0" applyNumberFormat="1" applyFont="1" applyFill="1" applyBorder="1" applyAlignment="1">
      <x:alignment horizontal="center" vertical="center" wrapText="1"/>
    </x:xf>
    <x:xf numFmtId="0" fontId="7" fillId="10" borderId="6" xfId="0" applyNumberFormat="1" applyFont="1" applyFill="1" applyBorder="1" applyAlignment="1">
      <x:alignment horizontal="center" vertical="center" wrapText="1"/>
    </x:xf>
    <x:xf numFmtId="201" fontId="7" fillId="10" borderId="6" xfId="0" applyNumberFormat="1" applyFont="1" applyFill="1" applyBorder="1" applyAlignment="1">
      <x:alignment horizontal="center" vertical="center" wrapText="1"/>
    </x:xf>
    <x:xf numFmtId="0" fontId="7" fillId="10" borderId="7" xfId="0" applyNumberFormat="1" applyFont="1" applyFill="1" applyBorder="1" applyAlignment="1">
      <x:alignment horizontal="center" vertical="center" wrapText="1"/>
    </x:xf>
    <x:xf numFmtId="0" fontId="6" fillId="13" borderId="5" xfId="0" applyNumberFormat="1" applyFont="1" applyFill="1" applyBorder="1" applyAlignment="1">
      <x:alignment vertical="top" wrapText="1"/>
    </x:xf>
    <x:xf numFmtId="0" fontId="6" fillId="13" borderId="6" xfId="0" applyNumberFormat="1" applyFont="1" applyFill="1" applyBorder="1" applyAlignment="1">
      <x:alignment vertical="top" wrapText="1"/>
    </x:xf>
    <x:xf numFmtId="201" fontId="6" fillId="13" borderId="6" xfId="0" applyNumberFormat="1" applyFont="1" applyFill="1" applyBorder="1" applyAlignment="1">
      <x:alignment vertical="top" wrapText="1"/>
    </x:xf>
    <x:xf numFmtId="0" fontId="6" fillId="13" borderId="7" xfId="0" applyNumberFormat="1" applyFont="1" applyFill="1" applyBorder="1" applyAlignment="1">
      <x:alignment vertical="top" wrapText="1"/>
    </x:xf>
    <x:xf numFmtId="0" fontId="6" fillId="11" borderId="8" xfId="0" applyNumberFormat="1" applyFont="1" applyFill="1" applyBorder="1" applyAlignment="1">
      <x:alignment vertical="top" wrapText="1"/>
    </x:xf>
    <x:xf numFmtId="0" fontId="6" fillId="11" borderId="9" xfId="0" applyNumberFormat="1" applyFont="1" applyFill="1" applyBorder="1" applyAlignment="1">
      <x:alignment vertical="top" wrapText="1"/>
    </x:xf>
    <x:xf numFmtId="201" fontId="6" fillId="11" borderId="9" xfId="0" applyNumberFormat="1" applyFont="1" applyFill="1" applyBorder="1" applyAlignment="1">
      <x:alignment vertical="top" wrapText="1"/>
    </x:xf>
    <x:xf numFmtId="0" fontId="6" fillId="11" borderId="10" xfId="0" applyNumberFormat="1" applyFont="1" applyFill="1" applyBorder="1" applyAlignment="1">
      <x:alignment vertical="top" wrapText="1"/>
    </x:xf>
    <x:xf numFmtId="0" fontId="4" fillId="15" borderId="0" xfId="0" applyNumberFormat="1" applyFont="1" applyFill="1" applyBorder="1" applyAlignment="1">
      <x:alignment horizontal="left" vertical="center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 applyAlignment="1">
      <x:alignment horizontal="left" vertical="center" wrapText="1"/>
    </x:xf>
    <x:xf numFmtId="0" fontId="7" fillId="15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left" vertical="center" wrapText="1"/>
    </x:xf>
    <x:xf numFmtId="0" fontId="7" fillId="9" borderId="0" xfId="0" applyNumberFormat="1" applyFont="1" applyFill="1" applyBorder="1"/>
    <x:xf numFmtId="0" fontId="6" fillId="16" borderId="2" xfId="0" applyNumberFormat="1" applyFont="1" applyFill="1" applyBorder="1" applyAlignment="1">
      <x:alignment vertical="top" wrapText="1"/>
    </x:xf>
    <x:xf numFmtId="0" fontId="6" fillId="16" borderId="3" xfId="0" applyNumberFormat="1" applyFont="1" applyFill="1" applyBorder="1" applyAlignment="1">
      <x:alignment vertical="top" wrapText="1"/>
    </x:xf>
    <x:xf numFmtId="201" fontId="6" fillId="16" borderId="3" xfId="0" applyNumberFormat="1" applyFont="1" applyFill="1" applyBorder="1" applyAlignment="1">
      <x:alignment vertical="top" wrapText="1"/>
    </x:xf>
    <x:xf numFmtId="0" fontId="6" fillId="16" borderId="5" xfId="0" applyNumberFormat="1" applyFont="1" applyFill="1" applyBorder="1" applyAlignment="1">
      <x:alignment vertical="top" wrapText="1"/>
    </x:xf>
    <x:xf numFmtId="0" fontId="6" fillId="16" borderId="6" xfId="0" applyNumberFormat="1" applyFont="1" applyFill="1" applyBorder="1" applyAlignment="1">
      <x:alignment vertical="top" wrapText="1"/>
    </x:xf>
    <x:xf numFmtId="201" fontId="6" fillId="16" borderId="6" xfId="0" applyNumberFormat="1" applyFont="1" applyFill="1" applyBorder="1" applyAlignment="1">
      <x:alignment vertical="top" wrapText="1"/>
    </x:xf>
    <x:xf numFmtId="0" fontId="8" fillId="16" borderId="5" xfId="0" applyNumberFormat="1" applyFont="1" applyFill="1" applyBorder="1" applyAlignment="1">
      <x:alignment vertical="top" wrapText="1"/>
    </x:xf>
    <x:xf numFmtId="0" fontId="8" fillId="16" borderId="6" xfId="0" applyNumberFormat="1" applyFont="1" applyFill="1" applyBorder="1" applyAlignment="1">
      <x:alignment vertical="top" wrapText="1"/>
    </x:xf>
    <x:xf numFmtId="201" fontId="8" fillId="16" borderId="6" xfId="0" applyNumberFormat="1" applyFont="1" applyFill="1" applyBorder="1" applyAlignment="1">
      <x:alignment vertical="top" wrapText="1"/>
    </x:xf>
    <x:xf numFmtId="0" fontId="7" fillId="16" borderId="5" xfId="0" applyNumberFormat="1" applyFont="1" applyFill="1" applyBorder="1" applyAlignment="1">
      <x:alignment horizontal="left" vertical="top" wrapText="1"/>
    </x:xf>
    <x:xf numFmtId="0" fontId="7" fillId="16" borderId="6" xfId="0" applyNumberFormat="1" applyFont="1" applyFill="1" applyBorder="1" applyAlignment="1">
      <x:alignment horizontal="center" vertical="top" wrapText="1"/>
    </x:xf>
    <x:xf numFmtId="201" fontId="7" fillId="16" borderId="6" xfId="0" applyNumberFormat="1" applyFont="1" applyFill="1" applyBorder="1" applyAlignment="1">
      <x:alignment horizontal="center" vertical="top" wrapText="1"/>
    </x:xf>
    <x:xf numFmtId="0" fontId="7" fillId="16" borderId="5" xfId="0" applyNumberFormat="1" applyFont="1" applyFill="1" applyBorder="1" applyAlignment="1">
      <x:alignment horizontal="center" vertical="center" wrapText="1"/>
    </x:xf>
    <x:xf numFmtId="0" fontId="7" fillId="16" borderId="6" xfId="0" applyNumberFormat="1" applyFont="1" applyFill="1" applyBorder="1" applyAlignment="1">
      <x:alignment horizontal="center" vertical="center" wrapText="1"/>
    </x:xf>
    <x:xf numFmtId="201" fontId="7" fillId="16" borderId="6" xfId="0" applyNumberFormat="1" applyFont="1" applyFill="1" applyBorder="1" applyAlignment="1">
      <x:alignment horizontal="center" vertical="center" wrapText="1"/>
    </x:xf>
    <x:xf numFmtId="0" fontId="6" fillId="16" borderId="8" xfId="0" applyNumberFormat="1" applyFont="1" applyFill="1" applyBorder="1" applyAlignment="1">
      <x:alignment vertical="top" wrapText="1"/>
    </x:xf>
    <x:xf numFmtId="0" fontId="6" fillId="16" borderId="9" xfId="0" applyNumberFormat="1" applyFont="1" applyFill="1" applyBorder="1" applyAlignment="1">
      <x:alignment vertical="top" wrapText="1"/>
    </x:xf>
    <x:xf numFmtId="201" fontId="6" fillId="16" borderId="9" xfId="0" applyNumberFormat="1" applyFont="1" applyFill="1" applyBorder="1" applyAlignment="1">
      <x:alignment vertical="top" wrapText="1"/>
    </x:xf>
    <x:xf numFmtId="0" fontId="7" fillId="11" borderId="4" xfId="0" applyNumberFormat="1" applyFont="1" applyFill="1" applyBorder="1" applyAlignment="1">
      <x:alignment vertical="top" wrapText="1"/>
    </x:xf>
    <x:xf numFmtId="0" fontId="7" fillId="17" borderId="4" xfId="0" applyNumberFormat="1" applyFont="1" applyFill="1" applyBorder="1" applyAlignment="1">
      <x:alignment vertical="top" wrapText="1"/>
    </x:xf>
    <x:xf numFmtId="0" fontId="10" fillId="17" borderId="4" xfId="0" applyNumberFormat="1" applyFont="1" applyFill="1" applyBorder="1" applyAlignment="1">
      <x:alignment vertical="top" wrapText="1"/>
    </x:xf>
    <x:xf numFmtId="0" fontId="7" fillId="11" borderId="7" xfId="0" applyNumberFormat="1" applyFont="1" applyFill="1" applyBorder="1" applyAlignment="1">
      <x:alignment vertical="top" wrapText="1"/>
    </x:xf>
    <x:xf numFmtId="0" fontId="7" fillId="17" borderId="7" xfId="0" applyNumberFormat="1" applyFont="1" applyFill="1" applyBorder="1" applyAlignment="1">
      <x:alignment vertical="top" wrapText="1"/>
    </x:xf>
    <x:xf numFmtId="0" fontId="10" fillId="17" borderId="7" xfId="0" applyNumberFormat="1" applyFont="1" applyFill="1" applyBorder="1" applyAlignment="1">
      <x:alignment vertical="top" wrapText="1"/>
    </x:xf>
    <x:xf numFmtId="0" fontId="7" fillId="12" borderId="7" xfId="0" applyNumberFormat="1" applyFont="1" applyFill="1" applyBorder="1" applyAlignment="1">
      <x:alignment vertical="top" wrapText="1"/>
    </x:xf>
    <x:xf numFmtId="0" fontId="7" fillId="18" borderId="7" xfId="0" applyNumberFormat="1" applyFont="1" applyFill="1" applyBorder="1" applyAlignment="1">
      <x:alignment vertical="top" wrapText="1"/>
    </x:xf>
    <x:xf numFmtId="0" fontId="5" fillId="18" borderId="7" xfId="0" applyNumberFormat="1" applyFont="1" applyFill="1" applyBorder="1" applyAlignment="1">
      <x:alignment vertical="top" wrapText="1"/>
    </x:xf>
    <x:xf numFmtId="0" fontId="7" fillId="10" borderId="7" xfId="0" applyNumberFormat="1" applyFont="1" applyFill="1" applyBorder="1" applyAlignment="1">
      <x:alignment vertical="top" wrapText="1"/>
    </x:xf>
    <x:xf numFmtId="0" fontId="7" fillId="19" borderId="7" xfId="0" applyNumberFormat="1" applyFont="1" applyFill="1" applyBorder="1" applyAlignment="1">
      <x:alignment vertical="top" wrapText="1"/>
    </x:xf>
    <x:xf numFmtId="0" fontId="11" fillId="19" borderId="7" xfId="0" applyNumberFormat="1" applyFont="1" applyFill="1" applyBorder="1" applyAlignment="1">
      <x:alignment vertical="top" wrapText="1"/>
    </x:xf>
    <x:xf numFmtId="0" fontId="7" fillId="16" borderId="7" xfId="0" applyNumberFormat="1" applyFont="1" applyFill="1" applyBorder="1" applyAlignment="1">
      <x:alignment vertical="top" wrapText="1"/>
    </x:xf>
    <x:xf numFmtId="0" fontId="7" fillId="16" borderId="7" xfId="0" applyNumberFormat="1" applyFont="1" applyFill="1" applyBorder="1" applyAlignment="1">
      <x:alignment horizontal="center" vertical="center" wrapText="1"/>
    </x:xf>
    <x:xf numFmtId="0" fontId="7" fillId="13" borderId="7" xfId="0" applyNumberFormat="1" applyFont="1" applyFill="1" applyBorder="1" applyAlignment="1">
      <x:alignment vertical="top" wrapText="1"/>
    </x:xf>
    <x:xf numFmtId="0" fontId="7" fillId="20" borderId="7" xfId="0" applyNumberFormat="1" applyFont="1" applyFill="1" applyBorder="1" applyAlignment="1">
      <x:alignment vertical="top" wrapText="1"/>
    </x:xf>
    <x:xf numFmtId="0" fontId="12" fillId="20" borderId="7" xfId="0" applyNumberFormat="1" applyFont="1" applyFill="1" applyBorder="1" applyAlignment="1">
      <x:alignment vertical="top" wrapText="1"/>
    </x:xf>
    <x:xf numFmtId="0" fontId="7" fillId="11" borderId="10" xfId="0" applyNumberFormat="1" applyFont="1" applyFill="1" applyBorder="1" applyAlignment="1">
      <x:alignment vertical="top" wrapText="1"/>
    </x:xf>
    <x:xf numFmtId="0" fontId="7" fillId="17" borderId="10" xfId="0" applyNumberFormat="1" applyFont="1" applyFill="1" applyBorder="1" applyAlignment="1">
      <x:alignment vertical="top" wrapText="1"/>
    </x:xf>
    <x:xf numFmtId="0" fontId="10" fillId="17" borderId="10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vertical="top" wrapText="1"/>
    </x:xf>
    <x:xf numFmtId="0" fontId="6" fillId="10" borderId="3" xfId="0" applyNumberFormat="1" applyFont="1" applyFill="1" applyBorder="1" applyAlignment="1">
      <x:alignment vertical="top" wrapText="1"/>
    </x:xf>
    <x:xf numFmtId="201" fontId="6" fillId="10" borderId="3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8" fillId="10" borderId="6" xfId="0" applyNumberFormat="1" applyFont="1" applyFill="1" applyBorder="1" applyAlignment="1">
      <x:alignment vertical="top" wrapText="1"/>
    </x:xf>
    <x:xf numFmtId="201" fontId="8" fillId="10" borderId="6" xfId="0" applyNumberFormat="1" applyFont="1" applyFill="1" applyBorder="1" applyAlignment="1">
      <x:alignment vertical="top" wrapText="1"/>
    </x:xf>
    <x:xf numFmtId="0" fontId="6" fillId="10" borderId="8" xfId="0" applyNumberFormat="1" applyFont="1" applyFill="1" applyBorder="1" applyAlignment="1">
      <x:alignment vertical="top" wrapText="1"/>
    </x:xf>
    <x:xf numFmtId="0" fontId="6" fillId="10" borderId="9" xfId="0" applyNumberFormat="1" applyFont="1" applyFill="1" applyBorder="1" applyAlignment="1">
      <x:alignment vertical="top" wrapText="1"/>
    </x:xf>
    <x:xf numFmtId="201" fontId="6" fillId="10" borderId="9" xfId="0" applyNumberFormat="1" applyFont="1" applyFill="1" applyBorder="1" applyAlignment="1">
      <x:alignment vertical="top" wrapText="1"/>
    </x:xf>
    <x:xf numFmtId="0" fontId="10" fillId="11" borderId="4" xfId="0" applyNumberFormat="1" applyFont="1" applyFill="1" applyBorder="1" applyAlignment="1">
      <x:alignment vertical="top" wrapText="1"/>
    </x:xf>
    <x:xf numFmtId="0" fontId="10" fillId="11" borderId="7" xfId="0" applyNumberFormat="1" applyFont="1" applyFill="1" applyBorder="1" applyAlignment="1">
      <x:alignment vertical="top" wrapText="1"/>
    </x:xf>
    <x:xf numFmtId="0" fontId="10" fillId="11" borderId="10" xfId="0" applyNumberFormat="1" applyFont="1" applyFill="1" applyBorder="1" applyAlignment="1">
      <x:alignment vertical="top" wrapText="1"/>
    </x:xf>
    <x:xf numFmtId="0" fontId="1" fillId="21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horizontal="center"/>
    </x:xf>
    <x:xf numFmtId="0" fontId="1" fillId="21" borderId="0" xfId="0" applyNumberFormat="1" applyFont="1" applyFill="1" applyBorder="1" applyAlignment="1">
      <x:alignment horizontal="center" vertical="center"/>
    </x:xf>
    <x:xf numFmtId="0" fontId="2" fillId="22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13" fillId="22" borderId="0" xfId="0" applyNumberFormat="1" applyFont="1" applyFill="1" applyBorder="1" applyAlignment="1">
      <x:alignment horizontal="center" vertical="center" wrapText="1"/>
    </x:xf>
    <x:xf numFmtId="0" fontId="13" fillId="22" borderId="0" xfId="0" applyNumberFormat="1" applyFont="1" applyFill="1" applyBorder="1"/>
    <x:xf numFmtId="0" fontId="13" fillId="22" borderId="0" xfId="0" applyNumberFormat="1" applyFont="1" applyFill="1" applyBorder="1" applyAlignment="1">
      <x:alignment wrapText="1"/>
    </x:xf>
    <x:xf numFmtId="0" fontId="13" fillId="22" borderId="0" xfId="0" applyNumberFormat="1" applyFont="1" applyFill="1" applyBorder="1" applyAlignment="1">
      <x:alignment vertical="center" wrapText="1"/>
    </x:xf>
    <x:xf numFmtId="0" fontId="6" fillId="21" borderId="2" xfId="0" applyNumberFormat="1" applyFont="1" applyFill="1" applyBorder="1" applyAlignment="1">
      <x:alignment vertical="top" wrapText="1"/>
    </x:xf>
    <x:xf numFmtId="0" fontId="6" fillId="21" borderId="3" xfId="0" applyNumberFormat="1" applyFont="1" applyFill="1" applyBorder="1" applyAlignment="1">
      <x:alignment vertical="top" wrapText="1"/>
    </x:xf>
    <x:xf numFmtId="201" fontId="6" fillId="21" borderId="3" xfId="0" applyNumberFormat="1" applyFont="1" applyFill="1" applyBorder="1" applyAlignment="1">
      <x:alignment vertical="top" wrapText="1"/>
    </x:xf>
    <x:xf numFmtId="0" fontId="10" fillId="21" borderId="4" xfId="0" applyNumberFormat="1" applyFont="1" applyFill="1" applyBorder="1" applyAlignment="1">
      <x:alignment vertical="top" wrapText="1"/>
    </x:xf>
    <x:xf numFmtId="0" fontId="2" fillId="21" borderId="2" xfId="0" applyNumberFormat="1" applyFont="1" applyFill="1" applyBorder="1" applyAlignment="1">
      <x:alignment vertical="top" wrapText="1"/>
    </x:xf>
    <x:xf numFmtId="0" fontId="2" fillId="21" borderId="3" xfId="0" applyNumberFormat="1" applyFont="1" applyFill="1" applyBorder="1" applyAlignment="1">
      <x:alignment vertical="top" wrapText="1"/>
    </x:xf>
    <x:xf numFmtId="201" fontId="2" fillId="21" borderId="3" xfId="0" applyNumberFormat="1" applyFont="1" applyFill="1" applyBorder="1" applyAlignment="1">
      <x:alignment vertical="top" wrapText="1"/>
    </x:xf>
    <x:xf numFmtId="0" fontId="2" fillId="21" borderId="4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2" xfId="0" applyNumberFormat="1" applyFont="1" applyFill="1" applyBorder="1" applyAlignment="1">
      <x:alignment horizontal="center" vertical="top" wrapText="1"/>
    </x:xf>
    <x:xf numFmtId="0" fontId="2" fillId="21" borderId="3" xfId="0" applyNumberFormat="1" applyFont="1" applyFill="1" applyBorder="1" applyAlignment="1">
      <x:alignment horizontal="center" vertical="top" wrapText="1"/>
    </x:xf>
    <x:xf numFmtId="201" fontId="2" fillId="21" borderId="3" xfId="0" applyNumberFormat="1" applyFont="1" applyFill="1" applyBorder="1" applyAlignment="1">
      <x:alignment horizontal="center" vertical="top" wrapText="1"/>
    </x:xf>
    <x:xf numFmtId="0" fontId="2" fillId="21" borderId="4" xfId="0" applyNumberFormat="1" applyFont="1" applyFill="1" applyBorder="1" applyAlignment="1">
      <x:alignment horizontal="center" vertical="top" wrapText="1"/>
    </x:xf>
    <x:xf numFmtId="0" fontId="2" fillId="21" borderId="0" xfId="0" applyNumberFormat="1" applyFont="1" applyFill="1" applyBorder="1" applyAlignment="1">
      <x:alignment horizontal="center" wrapText="1"/>
    </x:xf>
    <x:xf numFmtId="0" fontId="2" fillId="21" borderId="2" xfId="0" applyNumberFormat="1" applyFont="1" applyFill="1" applyBorder="1" applyAlignment="1">
      <x:alignment horizontal="center" vertical="center" wrapText="1"/>
    </x:xf>
    <x:xf numFmtId="0" fontId="2" fillId="21" borderId="3" xfId="0" applyNumberFormat="1" applyFont="1" applyFill="1" applyBorder="1" applyAlignment="1">
      <x:alignment horizontal="center" vertical="center" wrapText="1"/>
    </x:xf>
    <x:xf numFmtId="201" fontId="2" fillId="21" borderId="3" xfId="0" applyNumberFormat="1" applyFont="1" applyFill="1" applyBorder="1" applyAlignment="1">
      <x:alignment horizontal="center" vertical="center" wrapText="1"/>
    </x:xf>
    <x:xf numFmtId="0" fontId="2" fillId="21" borderId="4" xfId="0" applyNumberFormat="1" applyFont="1" applyFill="1" applyBorder="1" applyAlignment="1">
      <x:alignment horizontal="center" vertic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6" fillId="23" borderId="5" xfId="0" applyNumberFormat="1" applyFont="1" applyFill="1" applyBorder="1" applyAlignment="1">
      <x:alignment vertical="top" wrapText="1"/>
    </x:xf>
    <x:xf numFmtId="0" fontId="6" fillId="23" borderId="6" xfId="0" applyNumberFormat="1" applyFont="1" applyFill="1" applyBorder="1" applyAlignment="1">
      <x:alignment vertical="top" wrapText="1"/>
    </x:xf>
    <x:xf numFmtId="201" fontId="6" fillId="23" borderId="6" xfId="0" applyNumberFormat="1" applyFont="1" applyFill="1" applyBorder="1" applyAlignment="1">
      <x:alignment vertical="top" wrapText="1"/>
    </x:xf>
    <x:xf numFmtId="0" fontId="11" fillId="23" borderId="7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/>
    <x:xf numFmtId="0" fontId="14" fillId="23" borderId="5" xfId="0" applyNumberFormat="1" applyFont="1" applyFill="1" applyBorder="1" applyAlignment="1">
      <x:alignment vertical="top" wrapText="1"/>
    </x:xf>
    <x:xf numFmtId="0" fontId="14" fillId="23" borderId="6" xfId="0" applyNumberFormat="1" applyFont="1" applyFill="1" applyBorder="1" applyAlignment="1">
      <x:alignment vertical="top" wrapText="1"/>
    </x:xf>
    <x:xf numFmtId="201" fontId="14" fillId="23" borderId="6" xfId="0" applyNumberFormat="1" applyFont="1" applyFill="1" applyBorder="1" applyAlignment="1">
      <x:alignment vertical="top" wrapText="1"/>
    </x:xf>
    <x:xf numFmtId="0" fontId="14" fillId="23" borderId="7" xfId="0" applyNumberFormat="1" applyFont="1" applyFill="1" applyBorder="1" applyAlignment="1">
      <x:alignment vertical="top" wrapText="1"/>
    </x:xf>
    <x:xf numFmtId="0" fontId="14" fillId="23" borderId="0" xfId="0" applyNumberFormat="1" applyFont="1" applyFill="1" applyBorder="1"/>
    <x:xf numFmtId="0" fontId="14" fillId="23" borderId="5" xfId="0" applyNumberFormat="1" applyFont="1" applyFill="1" applyBorder="1" applyAlignment="1">
      <x:alignment horizontal="left" vertical="top" wrapText="1"/>
    </x:xf>
    <x:xf numFmtId="0" fontId="14" fillId="23" borderId="6" xfId="0" applyNumberFormat="1" applyFont="1" applyFill="1" applyBorder="1" applyAlignment="1">
      <x:alignment horizontal="left" vertical="top" wrapText="1"/>
    </x:xf>
    <x:xf numFmtId="201" fontId="14" fillId="23" borderId="6" xfId="0" applyNumberFormat="1" applyFont="1" applyFill="1" applyBorder="1" applyAlignment="1">
      <x:alignment horizontal="left" vertical="top" wrapText="1"/>
    </x:xf>
    <x:xf numFmtId="0" fontId="14" fillId="23" borderId="7" xfId="0" applyNumberFormat="1" applyFont="1" applyFill="1" applyBorder="1" applyAlignment="1">
      <x:alignment horizontal="left" vertical="top" wrapText="1"/>
    </x:xf>
    <x:xf numFmtId="0" fontId="14" fillId="23" borderId="0" xfId="0" applyNumberFormat="1" applyFont="1" applyFill="1" applyBorder="1" applyAlignment="1">
      <x:alignment horizontal="left"/>
    </x:xf>
    <x:xf numFmtId="0" fontId="14" fillId="23" borderId="5" xfId="0" applyNumberFormat="1" applyFont="1" applyFill="1" applyBorder="1" applyAlignment="1">
      <x:alignment horizontal="left" vertical="center" wrapText="1"/>
    </x:xf>
    <x:xf numFmtId="0" fontId="14" fillId="23" borderId="6" xfId="0" applyNumberFormat="1" applyFont="1" applyFill="1" applyBorder="1" applyAlignment="1">
      <x:alignment horizontal="left" vertical="center" wrapText="1"/>
    </x:xf>
    <x:xf numFmtId="201" fontId="14" fillId="23" borderId="6" xfId="0" applyNumberFormat="1" applyFont="1" applyFill="1" applyBorder="1" applyAlignment="1">
      <x:alignment horizontal="left" vertical="center" wrapText="1"/>
    </x:xf>
    <x:xf numFmtId="0" fontId="14" fillId="23" borderId="7" xfId="0" applyNumberFormat="1" applyFont="1" applyFill="1" applyBorder="1" applyAlignment="1">
      <x:alignment horizontal="left" vertical="center" wrapText="1"/>
    </x:xf>
    <x:xf numFmtId="0" fontId="14" fillId="23" borderId="0" xfId="0" applyNumberFormat="1" applyFont="1" applyFill="1" applyBorder="1" applyAlignment="1">
      <x:alignment horizontal="left" vertical="center"/>
    </x:xf>
    <x:xf numFmtId="0" fontId="6" fillId="21" borderId="5" xfId="0" applyNumberFormat="1" applyFont="1" applyFill="1" applyBorder="1" applyAlignment="1">
      <x:alignment vertical="top" wrapText="1"/>
    </x:xf>
    <x:xf numFmtId="0" fontId="6" fillId="21" borderId="6" xfId="0" applyNumberFormat="1" applyFont="1" applyFill="1" applyBorder="1" applyAlignment="1">
      <x:alignment vertical="top" wrapText="1"/>
    </x:xf>
    <x:xf numFmtId="201" fontId="6" fillId="21" borderId="6" xfId="0" applyNumberFormat="1" applyFont="1" applyFill="1" applyBorder="1" applyAlignment="1">
      <x:alignment vertical="top" wrapText="1"/>
    </x:xf>
    <x:xf numFmtId="0" fontId="11" fillId="21" borderId="7" xfId="0" applyNumberFormat="1" applyFont="1" applyFill="1" applyBorder="1" applyAlignment="1">
      <x:alignment vertical="top" wrapText="1"/>
    </x:xf>
    <x:xf numFmtId="0" fontId="2" fillId="21" borderId="5" xfId="0" applyNumberFormat="1" applyFont="1" applyFill="1" applyBorder="1" applyAlignment="1">
      <x:alignment vertical="top" wrapText="1"/>
    </x:xf>
    <x:xf numFmtId="0" fontId="2" fillId="21" borderId="6" xfId="0" applyNumberFormat="1" applyFont="1" applyFill="1" applyBorder="1" applyAlignment="1">
      <x:alignment vertical="top" wrapText="1"/>
    </x:xf>
    <x:xf numFmtId="201" fontId="2" fillId="21" borderId="6" xfId="0" applyNumberFormat="1" applyFont="1" applyFill="1" applyBorder="1" applyAlignment="1">
      <x:alignment vertical="top" wrapText="1"/>
    </x:xf>
    <x:xf numFmtId="0" fontId="2" fillId="21" borderId="7" xfId="0" applyNumberFormat="1" applyFont="1" applyFill="1" applyBorder="1" applyAlignment="1">
      <x:alignment vertical="top" wrapText="1"/>
    </x:xf>
    <x:xf numFmtId="0" fontId="2" fillId="21" borderId="5" xfId="0" applyNumberFormat="1" applyFont="1" applyFill="1" applyBorder="1" applyAlignment="1">
      <x:alignment horizontal="center" vertical="top" wrapText="1"/>
    </x:xf>
    <x:xf numFmtId="0" fontId="2" fillId="21" borderId="6" xfId="0" applyNumberFormat="1" applyFont="1" applyFill="1" applyBorder="1" applyAlignment="1">
      <x:alignment horizontal="center" vertical="top" wrapText="1"/>
    </x:xf>
    <x:xf numFmtId="201" fontId="2" fillId="21" borderId="6" xfId="0" applyNumberFormat="1" applyFont="1" applyFill="1" applyBorder="1" applyAlignment="1">
      <x:alignment horizontal="center" vertical="top" wrapText="1"/>
    </x:xf>
    <x:xf numFmtId="0" fontId="2" fillId="21" borderId="7" xfId="0" applyNumberFormat="1" applyFont="1" applyFill="1" applyBorder="1" applyAlignment="1">
      <x:alignment horizontal="center" vertical="top" wrapText="1"/>
    </x:xf>
    <x:xf numFmtId="0" fontId="2" fillId="21" borderId="5" xfId="0" applyNumberFormat="1" applyFont="1" applyFill="1" applyBorder="1" applyAlignment="1">
      <x:alignment horizontal="center" vertical="center" wrapText="1"/>
    </x:xf>
    <x:xf numFmtId="0" fontId="2" fillId="21" borderId="6" xfId="0" applyNumberFormat="1" applyFont="1" applyFill="1" applyBorder="1" applyAlignment="1">
      <x:alignment horizontal="center" vertical="center" wrapText="1"/>
    </x:xf>
    <x:xf numFmtId="201" fontId="2" fillId="21" borderId="6" xfId="0" applyNumberFormat="1" applyFont="1" applyFill="1" applyBorder="1" applyAlignment="1">
      <x:alignment horizontal="center" vertical="center" wrapText="1"/>
    </x:xf>
    <x:xf numFmtId="0" fontId="2" fillId="21" borderId="7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14" fillId="23" borderId="0" xfId="0" applyNumberFormat="1" applyFont="1" applyFill="1" applyBorder="1" applyAlignment="1">
      <x:alignment horizontal="left"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6" fillId="10" borderId="5" xfId="0" applyNumberFormat="1" applyFont="1" applyFill="1" applyBorder="1" applyAlignment="1">
      <x:alignment vertical="center" wrapText="1"/>
    </x:xf>
    <x:xf numFmtId="0" fontId="6" fillId="10" borderId="6" xfId="0" applyNumberFormat="1" applyFont="1" applyFill="1" applyBorder="1" applyAlignment="1">
      <x:alignment vertical="center" wrapText="1"/>
    </x:xf>
    <x:xf numFmtId="201" fontId="6" fillId="10" borderId="6" xfId="0" applyNumberFormat="1" applyFont="1" applyFill="1" applyBorder="1" applyAlignment="1">
      <x:alignment vertical="center" wrapText="1"/>
    </x:xf>
    <x:xf numFmtId="0" fontId="10" fillId="11" borderId="7" xfId="0" applyNumberFormat="1" applyFont="1" applyFill="1" applyBorder="1" applyAlignment="1">
      <x:alignment vertical="center" wrapText="1"/>
    </x:xf>
    <x:xf numFmtId="0" fontId="5" fillId="18" borderId="7" xfId="0" applyNumberFormat="1" applyFont="1" applyFill="1" applyBorder="1" applyAlignment="1">
      <x:alignment vertical="center" wrapText="1"/>
    </x:xf>
    <x:xf numFmtId="0" fontId="11" fillId="19" borderId="7" xfId="0" applyNumberFormat="1" applyFont="1" applyFill="1" applyBorder="1" applyAlignment="1">
      <x:alignment vertical="center" wrapText="1"/>
    </x:xf>
    <x:xf numFmtId="0" fontId="7" fillId="10" borderId="7" xfId="0" applyNumberFormat="1" applyFont="1" applyFill="1" applyBorder="1" applyAlignment="1">
      <x:alignment vertical="center" wrapText="1"/>
    </x:xf>
    <x:xf numFmtId="0" fontId="7" fillId="10" borderId="5" xfId="0" applyNumberFormat="1" applyFont="1" applyFill="1" applyBorder="1" applyAlignment="1">
      <x:alignment horizontal="left" vertical="center" wrapText="1"/>
    </x:xf>
    <x:xf numFmtId="0" fontId="12" fillId="20" borderId="7" xfId="0" applyNumberFormat="1" applyFont="1" applyFill="1" applyBorder="1" applyAlignment="1">
      <x:alignment vertical="center" wrapText="1"/>
    </x:xf>
    <x:xf numFmtId="0" fontId="6" fillId="10" borderId="8" xfId="0" applyNumberFormat="1" applyFont="1" applyFill="1" applyBorder="1" applyAlignment="1">
      <x:alignment vertical="center" wrapText="1"/>
    </x:xf>
    <x:xf numFmtId="0" fontId="6" fillId="10" borderId="9" xfId="0" applyNumberFormat="1" applyFont="1" applyFill="1" applyBorder="1" applyAlignment="1">
      <x:alignment vertical="center" wrapText="1"/>
    </x:xf>
    <x:xf numFmtId="201" fontId="6" fillId="10" borderId="9" xfId="0" applyNumberFormat="1" applyFont="1" applyFill="1" applyBorder="1" applyAlignment="1">
      <x:alignment vertical="center" wrapText="1"/>
    </x:xf>
    <x:xf numFmtId="0" fontId="10" fillId="11" borderId="10" xfId="0" applyNumberFormat="1" applyFont="1" applyFill="1" applyBorder="1" applyAlignment="1">
      <x:alignment vertical="center" wrapText="1"/>
    </x:xf>
    <x:xf numFmtId="201" fontId="2" fillId="21" borderId="0" xfId="0" applyNumberFormat="1" applyFont="1" applyFill="1" applyBorder="1" applyAlignment="1">
      <x:alignment horizontal="center" vertical="center" wrapText="1"/>
    </x:xf>
    <x:xf numFmtId="0" fontId="14" fillId="24" borderId="0" xfId="0" applyNumberFormat="1" applyFont="1" applyFill="1" applyBorder="1" applyAlignment="1">
      <x:alignment horizontal="left" vertical="center" wrapText="1"/>
    </x:xf>
    <x:xf numFmtId="0" fontId="0" fillId="24" borderId="0" xfId="0" applyNumberFormat="1" applyFont="1" applyFill="1" applyBorder="1" applyAlignment="1">
      <x:alignment wrapText="1"/>
    </x:xf>
    <x:xf numFmtId="0" fontId="14" fillId="22" borderId="0" xfId="0" applyNumberFormat="1" applyFont="1" applyFill="1" applyBorder="1" applyAlignment="1">
      <x:alignment horizontal="left" vertical="center" wrapText="1"/>
    </x:xf>
    <x:xf numFmtId="0" fontId="0" fillId="22" borderId="0" xfId="0" applyNumberFormat="1" applyFont="1" applyFill="1" applyBorder="1" applyAlignment="1">
      <x:alignment wrapText="1"/>
    </x:xf>
    <x:xf numFmtId="0" fontId="14" fillId="25" borderId="0" xfId="0" applyNumberFormat="1" applyFont="1" applyFill="1" applyBorder="1" applyAlignment="1">
      <x:alignment horizontal="left" vertical="center" wrapText="1"/>
    </x:xf>
    <x:xf numFmtId="0" fontId="0" fillId="25" borderId="0" xfId="0" applyNumberFormat="1" applyFont="1" applyFill="1" applyBorder="1" applyAlignment="1">
      <x:alignment wrapText="1"/>
    </x:xf>
  </x:cellXfs>
  <x:cellStyles count="1">
    <x:cellStyle name="Normal" xfId="0"/>
  </x:cellStyles>
  <x:dxfs count="32">
    <x:dxf>
      <x:font>
        <x:b/>
        <x:color rgb="FFFFFF"/>
      </x:font>
      <x:fill>
        <x:patternFill>
          <x:bgColor rgb="7F1D1D"/>
        </x:patternFill>
      </x:fill>
    </x:dxf>
    <x:dxf>
      <x:font>
        <x:b/>
        <x:color rgb="7F1D1D"/>
      </x:font>
      <x:fill>
        <x:patternFill>
          <x:bgColor rgb="FCA5A5"/>
        </x:patternFill>
      </x:fill>
    </x:dxf>
    <x:dxf>
      <x:font>
        <x:b/>
        <x:color rgb="713F12"/>
      </x:font>
      <x:fill>
        <x:patternFill>
          <x:bgColor rgb="FEF08A"/>
        </x:patternFill>
      </x:fill>
    </x:dxf>
    <x:dxf>
      <x:font>
        <x:b/>
        <x:color rgb="7C2D12"/>
      </x:font>
      <x:fill>
        <x:patternFill>
          <x:bgColor rgb="FED7AA"/>
        </x:patternFill>
      </x:fill>
    </x:dxf>
    <x:dxf>
      <x:font>
        <x:b/>
        <x:color rgb="14532D"/>
      </x:font>
      <x:fill>
        <x:patternFill>
          <x:bgColor rgb="BBF7D0"/>
        </x:patternFill>
      </x:fill>
    </x:dxf>
    <x:dxf>
      <x:font>
        <x:b/>
        <x:color rgb="FFFFFF"/>
      </x:font>
      <x:fill>
        <x:patternFill>
          <x:bgColor rgb="7F1D1D"/>
        </x:patternFill>
      </x:fill>
    </x:dxf>
    <x:dxf>
      <x:font>
        <x:b/>
        <x:color rgb="7F1D1D"/>
      </x:font>
      <x:fill>
        <x:patternFill>
          <x:bgColor rgb="FCA5A5"/>
        </x:patternFill>
      </x:fill>
    </x:dxf>
    <x:dxf>
      <x:font>
        <x:b/>
        <x:color rgb="713F12"/>
      </x:font>
      <x:fill>
        <x:patternFill>
          <x:bgColor rgb="FEF08A"/>
        </x:patternFill>
      </x:fill>
    </x:dxf>
    <x:dxf>
      <x:font>
        <x:b/>
        <x:color rgb="7C2D12"/>
      </x:font>
      <x:fill>
        <x:patternFill>
          <x:bgColor rgb="FED7AA"/>
        </x:patternFill>
      </x:fill>
    </x:dxf>
    <x:dxf>
      <x:font>
        <x:b/>
        <x:color rgb="14532D"/>
      </x:font>
      <x:fill>
        <x:patternFill>
          <x:bgColor rgb="BBF7D0"/>
        </x:patternFill>
      </x:fill>
    </x:dxf>
    <x:dxf>
      <x:font>
        <x:color rgb="006100"/>
      </x:font>
      <x:fill>
        <x:patternFill>
          <x:bgColor rgb="C6EFCE"/>
        </x:patternFill>
      </x:fill>
    </x:dxf>
    <x:dxf>
      <x:font>
        <x:color rgb="9C6500"/>
      </x:font>
      <x:fill>
        <x:patternFill>
          <x:bgColor rgb="FFEB9C"/>
        </x:patternFill>
      </x:fill>
    </x:dxf>
    <x:dxf>
      <x:font>
        <x:color rgb="9C0006"/>
      </x:font>
      <x:fill>
        <x:patternFill>
          <x:bgColor rgb="FFC7CE"/>
        </x:patternFill>
      </x:fill>
    </x:dxf>
    <x:dxf>
      <x:font>
        <x:b/>
        <x:color rgb="FFFFFF"/>
      </x:font>
      <x:fill>
        <x:patternFill>
          <x:bgColor rgb="9C0006"/>
        </x:patternFill>
      </x:fill>
    </x:dxf>
    <x:dxf>
      <x:font>
        <x:color rgb="006100"/>
      </x:font>
      <x:fill>
        <x:patternFill>
          <x:bgColor rgb="C6EFCE"/>
        </x:patternFill>
      </x:fill>
    </x:dxf>
    <x:dxf>
      <x:font>
        <x:color rgb="9C6500"/>
      </x:font>
      <x:fill>
        <x:patternFill>
          <x:bgColor rgb="FFEB9C"/>
        </x:patternFill>
      </x:fill>
    </x:dxf>
    <x:dxf>
      <x:font>
        <x:color rgb="9C0006"/>
      </x:font>
      <x:fill>
        <x:patternFill>
          <x:bgColor rgb="FFC7CE"/>
        </x:patternFill>
      </x:fill>
    </x:dxf>
    <x:dxf>
      <x:font>
        <x:b/>
        <x:color rgb="FFFFFF"/>
      </x:font>
      <x:fill>
        <x:patternFill>
          <x:bgColor rgb="9C0006"/>
        </x:patternFill>
      </x:fill>
    </x:dxf>
    <x:dxf>
      <x:fill>
        <x:patternFill>
          <x:bgColor rgb="C6EFCE"/>
        </x:patternFill>
      </x:fill>
    </x:dxf>
    <x:dxf>
      <x:fill>
        <x:patternFill>
          <x:bgColor rgb="FFF2CC"/>
        </x:patternFill>
      </x:fill>
    </x:dxf>
    <x:dxf>
      <x:fill>
        <x:patternFill>
          <x:bgColor rgb="FFC7CE"/>
        </x:patternFill>
      </x:fill>
    </x:dxf>
    <x:dxf>
      <x:font>
        <x:color rgb="FFFFFF"/>
      </x:font>
      <x:fill>
        <x:patternFill>
          <x:bgColor rgb="7F1D1D"/>
        </x:patternFill>
      </x:fill>
    </x:dxf>
    <x:dxf>
      <x:font>
        <x:color rgb="666666"/>
      </x:font>
      <x:fill>
        <x:patternFill>
          <x:bgColor rgb="E7E6E6"/>
        </x:patternFill>
      </x:fill>
    </x:dxf>
    <x:dxf>
      <x:font>
        <x:b/>
        <x:color rgb="006100"/>
      </x:font>
      <x:fill>
        <x:patternFill>
          <x:bgColor rgb="C6EFCE"/>
        </x:patternFill>
      </x:fill>
    </x:dxf>
    <x:dxf>
      <x:font>
        <x:b/>
        <x:color rgb="9C6500"/>
      </x:font>
      <x:fill>
        <x:patternFill>
          <x:bgColor rgb="FFEB9C"/>
        </x:patternFill>
      </x:fill>
    </x:dxf>
    <x:dxf>
      <x:font>
        <x:b/>
        <x:color rgb="9C0006"/>
      </x:font>
      <x:fill>
        <x:patternFill>
          <x:bgColor rgb="FFC7CE"/>
        </x:patternFill>
      </x:fill>
    </x:dxf>
    <x:dxf>
      <x:font>
        <x:b/>
        <x:color rgb="1F4E78"/>
      </x:font>
      <x:fill>
        <x:patternFill>
          <x:bgColor rgb="D9E1F2"/>
        </x:patternFill>
      </x:fill>
    </x:dxf>
    <x:dxf>
      <x:font>
        <x:b/>
        <x:color rgb="FFFFFF"/>
      </x:font>
      <x:fill>
        <x:patternFill patternType="solid">
          <x:bgColor rgb="7F1D1D"/>
        </x:patternFill>
      </x:fill>
    </x:dxf>
    <x:dxf>
      <x:font>
        <x:b/>
        <x:color rgb="FFFFFF"/>
      </x:font>
      <x:fill>
        <x:patternFill patternType="solid">
          <x:bgColor rgb="991B1B"/>
        </x:patternFill>
      </x:fill>
    </x:dxf>
    <x:dxf>
      <x:font>
        <x:b/>
        <x:color rgb="7F1D1D"/>
      </x:font>
      <x:fill>
        <x:patternFill patternType="solid">
          <x:bgColor rgb="FCA5A5"/>
        </x:patternFill>
      </x:fill>
    </x:dxf>
    <x:dxf>
      <x:font>
        <x:b/>
        <x:color rgb="78350F"/>
      </x:font>
      <x:fill>
        <x:patternFill patternType="solid">
          <x:bgColor rgb="FDE68A"/>
        </x:patternFill>
      </x:fill>
    </x:dxf>
    <x:dxf>
      <x:font>
        <x:b/>
        <x:color rgb="065F46"/>
      </x:font>
      <x:fill>
        <x:patternFill patternType="solid">
          <x:bgColor rgb="BBF7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989f3ae70e449b" /><Relationship Type="http://schemas.openxmlformats.org/officeDocument/2006/relationships/theme" Target="/xl/theme/theme1.xml" Id="Rdb02b2b957e74c39" /><Relationship Type="http://schemas.openxmlformats.org/officeDocument/2006/relationships/sharedStrings" Target="/xl/sharedStrings.xml" Id="R0913197554464f60" /><Relationship Type="http://schemas.openxmlformats.org/officeDocument/2006/relationships/worksheet" Target="/xl/worksheets/sheet1.xml" Id="Rf94e130da90b4eb8" /><Relationship Type="http://schemas.openxmlformats.org/officeDocument/2006/relationships/worksheet" Target="/xl/worksheets/sheet2.xml" Id="Rd926f93759a942b5" /><Relationship Type="http://schemas.openxmlformats.org/officeDocument/2006/relationships/worksheet" Target="/xl/worksheets/sheet3.xml" Id="Ra4c6394022564a56" /></Relationships>
</file>

<file path=xl/tables/table1.xml><?xml version="1.0" encoding="utf-8"?>
<x:table xmlns:x="http://schemas.openxmlformats.org/spreadsheetml/2006/main" id="1" name="CertificatesTable" displayName="CertificatesTable" ref="A7:F35" headerRowCount="1">
  <x:tableColumns count="6">
    <x:tableColumn id="1" name="Name of Certificate / Periodical Survey"/>
    <x:tableColumn id="2" name="Name of Organization"/>
    <x:tableColumn id="3" name="Issuing Date"/>
    <x:tableColumn id="4" name="Expiration Date"/>
    <x:tableColumn id="5" name="Due Date for Periodical Survey"/>
    <x:tableColumn id="6" name="Window to Complete Survey / Audit"/>
  </x:tableColumns>
  <x:tableStyleInfo name="TableStyleMedium2" showRowStripes="1"/>
</x:table>
</file>

<file path=xl/tables/table2.xml><?xml version="1.0" encoding="utf-8"?>
<x:table xmlns:x="http://schemas.openxmlformats.org/spreadsheetml/2006/main" id="2" name="PeriodicalSurveyTable" displayName="PeriodicalSurveyTable" ref="A38:F61" headerRowCount="1">
  <x:tableColumns count="6">
    <x:tableColumn id="1" name="Name of Certificate / Periodical Survey"/>
    <x:tableColumn id="2" name="Name of Organization"/>
    <x:tableColumn id="3" name="Issuing Date"/>
    <x:tableColumn id="4" name="Expiration Date"/>
    <x:tableColumn id="5" name="Due Date for Periodical Survey"/>
    <x:tableColumn id="6" name="Window to Complete Survey / Aud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fe93b54ce84074" /><Relationship Type="http://schemas.openxmlformats.org/officeDocument/2006/relationships/table" Target="/xl/tables/table2.xml" Id="R7b39a36ee519464c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17" hidden="0" customWidth="1"/>
    <x:col min="4" max="4" width="18" hidden="0" customWidth="1"/>
    <x:col min="5" max="5" width="18" hidden="0" customWidth="1"/>
    <x:col min="6" max="6" width="36" hidden="0" customWidth="1"/>
    <x:col min="7" max="7" width="22" hidden="0" customWidth="1"/>
    <x:col min="8" max="8" width="24" hidden="0" customWidth="1"/>
  </x:cols>
  <x:sheetData>
    <x:row r="1" ht="28" customHeight="1">
      <x:c r="A1" s="200" t="str">
        <x:v>VESSEL CERTIFICATE &amp; PERIODICAL SURVEY TRACKER - MT TREND</x:v>
      </x:c>
      <x:c r="B1" s="200"/>
      <x:c r="C1" s="200"/>
      <x:c r="D1" s="200"/>
      <x:c r="E1" s="200"/>
      <x:c r="F1" s="200"/>
      <x:c r="G1" s="200"/>
      <x:c r="H1" s="200"/>
    </x:row>
    <x:row r="2">
      <x:c r="A2" s="52" t="str">
        <x:v>Vessel Name</x:v>
      </x:c>
      <x:c r="B2" s="53" t="str">
        <x:v>TREND</x:v>
      </x:c>
      <x:c r="C2" s="52" t="str">
        <x:v>IMO / LR Number</x:v>
      </x:c>
      <x:c r="D2" s="53" t="str">
        <x:v>9477177</x:v>
      </x:c>
      <x:c r="E2" s="52" t="str">
        <x:v>Flag</x:v>
      </x:c>
      <x:c r="F2" s="53" t="str">
        <x:v>Togo</x:v>
      </x:c>
      <x:c r="G2" s="268" t="str">
        <x:v>LR Report Print Date</x:v>
      </x:c>
      <x:c r="H2" s="270" t="n">
        <x:v>46143</x:v>
      </x:c>
    </x:row>
    <x:row r="3">
      <x:c r="A3" s="52" t="str">
        <x:v>Company / Ship Manager</x:v>
      </x:c>
      <x:c r="B3" s="53" t="str">
        <x:v>Verital Marine Services LLC</x:v>
      </x:c>
      <x:c r="C3" s="52" t="str">
        <x:v>Year Built</x:v>
      </x:c>
      <x:c r="D3" s="53" t="str">
        <x:v>2008</x:v>
      </x:c>
      <x:c r="E3" s="52" t="str">
        <x:v>Date of Build</x:v>
      </x:c>
      <x:c r="F3" s="270" t="n">
        <x:v>39527</x:v>
      </x:c>
      <x:c r="G3" s="268" t="str">
        <x:v>Class Status</x:v>
      </x:c>
      <x:c r="H3" s="53" t="str">
        <x:v>Classed</x:v>
      </x:c>
    </x:row>
    <x:row r="4">
      <x:c r="A4" s="52" t="str">
        <x:v>Asset Type</x:v>
      </x:c>
      <x:c r="B4" s="53" t="str">
        <x:v>Products Tanker</x:v>
      </x:c>
      <x:c r="C4" s="52" t="str">
        <x:v>Classification Society</x:v>
      </x:c>
      <x:c r="D4" s="53" t="str">
        <x:v>Lloyd's Register (LR)</x:v>
      </x:c>
      <x:c r="E4" s="268" t="str">
        <x:v>Asset Overall Status</x:v>
      </x:c>
      <x:c r="F4" s="53" t="str">
        <x:v>Imminent</x:v>
      </x:c>
      <x:c r="G4" s="268" t="str">
        <x:v>DWT</x:v>
      </x:c>
      <x:c r="H4" s="53" t="n">
        <x:v>7119</x:v>
      </x:c>
    </x:row>
    <x:row r="5">
      <x:c r="A5" s="52" t="str">
        <x:v>Owner</x:v>
      </x:c>
      <x:c r="B5" s="53" t="str">
        <x:v>Saif Ships &amp; Boats Trading LLC</x:v>
      </x:c>
      <x:c r="C5" s="268" t="str">
        <x:v>Gross Tonnage</x:v>
      </x:c>
      <x:c r="D5" s="53" t="n">
        <x:v>5036</x:v>
      </x:c>
      <x:c r="E5" s="268" t="str">
        <x:v>Port of Registry</x:v>
      </x:c>
      <x:c r="F5" s="53" t="str">
        <x:v>Lome</x:v>
      </x:c>
      <x:c r="G5" s="268" t="str">
        <x:v>Call Sign</x:v>
      </x:c>
      <x:c r="H5" s="53" t="str">
        <x:v>5VJB5</x:v>
      </x:c>
    </x:row>
    <x:row r="6">
      <x:c r="A6" s="148" t="str">
        <x:v>Reminder Emails</x:v>
      </x:c>
      <x:c r="B6" s="148" t="str">
        <x:v>vmsinfo@verital.ae</x:v>
      </x:c>
      <x:c r="C6" s="148"/>
      <x:c r="D6" s="148"/>
      <x:c r="E6" s="148"/>
      <x:c r="F6" s="148"/>
      <x:c r="G6" s="275"/>
      <x:c r="H6" s="53"/>
    </x:row>
    <x:row r="7" ht="48" customHeight="1">
      <x:c r="A7" s="207" t="str">
        <x:v>Survey alarm colors are applied ONLY to Column G based on Due Date: Green = 6 to 4 months | Yellow = 4 to 3 months | Red = 3 to 1 month | Dark red = less than 1 month / overdue | No color = more than 6 months or no due date</x:v>
      </x:c>
      <x:c r="B7" s="207"/>
      <x:c r="C7" s="207"/>
      <x:c r="D7" s="207"/>
      <x:c r="E7" s="207"/>
      <x:c r="F7" s="207"/>
      <x:c r="G7" s="207"/>
      <x:c r="H7" s="210"/>
    </x:row>
    <x:row r="8" ht="32" customHeight="1">
      <x:c r="A8" s="226" t="str">
        <x:v>Name of Certificate / Periodical Survey</x:v>
      </x:c>
      <x:c r="B8" s="227" t="str">
        <x:v>Name of Organization</x:v>
      </x:c>
      <x:c r="C8" s="228" t="str">
        <x:v>Issuing / Assigned Date</x:v>
      </x:c>
      <x:c r="D8" s="228" t="str">
        <x:v>Expiration / Renewal Date</x:v>
      </x:c>
      <x:c r="E8" s="228" t="str">
        <x:v>Due Date for Periodical Survey</x:v>
      </x:c>
      <x:c r="F8" s="227" t="str">
        <x:v>Window to Complete Survey / Audit</x:v>
      </x:c>
      <x:c r="G8" s="229" t="str">
        <x:v>Survey Alarm</x:v>
      </x:c>
      <x:c r="H8" s="230" t="str">
        <x:v>LR Status / Remarks</x:v>
      </x:c>
    </x:row>
    <x:row r="9" ht="32" customHeight="1">
      <x:c r="A9" s="276" t="str">
        <x:v>Certificate of Class</x:v>
      </x:c>
      <x:c r="B9" s="277" t="str">
        <x:v>Lloyd's Register (LR)</x:v>
      </x:c>
      <x:c r="C9" s="278" t="n">
        <x:v>45789</x:v>
      </x:c>
      <x:c r="D9" s="278" t="n">
        <x:v>47150</x:v>
      </x:c>
      <x:c r="E9" s="278" t="n">
        <x:v>46055</x:v>
      </x:c>
      <x:c r="F9" s="277" t="str">
        <x:v>AS window: 03 Nov 2025 - 01 May 2026; Special renewal: 02 Nov 2028 - 01 Feb 2029</x:v>
      </x:c>
      <x:c r="G9" s="279" t="str">
        <x:f>IF($E9="","N/A",IF($E9&lt;TODAY(),"OVERDUE / IMMEDIATE",IF($E9&lt;=TODAY()+30,"DARK RED - &lt;1 MONTH",IF($E9&lt;=EDATE(TODAY(),3),"RED - 1 TO 3 MONTHS",IF($E9&lt;=EDATE(TODAY(),4),"YELLOW - 3 TO 4 MONTHS",IF($E9&lt;=EDATE(TODAY(),6),"GREEN - 4 TO 6 MONTHS","MONITOR &gt;6 MONTHS"))))))</x:f>
        <x:v>OVERDUE / IMMEDIATE</x:v>
      </x:c>
      <x:c r="H9" s="53" t="str">
        <x:v>Annual Survey status: Imminent</x:v>
      </x:c>
    </x:row>
    <x:row r="10" ht="32" customHeight="1">
      <x:c r="A10" s="276" t="str">
        <x:v>International Load Line Certificate</x:v>
      </x:c>
      <x:c r="B10" s="277" t="str">
        <x:v>Lloyd's Register (LR)</x:v>
      </x:c>
      <x:c r="C10" s="278" t="n">
        <x:v>45789</x:v>
      </x:c>
      <x:c r="D10" s="278" t="n">
        <x:v>47150</x:v>
      </x:c>
      <x:c r="E10" s="278" t="n">
        <x:v>46055</x:v>
      </x:c>
      <x:c r="F10" s="277" t="str">
        <x:v>PLI window: 03 Nov 2025 - 01 May 2026; PLR window: 02 Nov 2028 - 01 Feb 2029</x:v>
      </x:c>
      <x:c r="G10" s="279" t="str">
        <x:f>IF($E10="","N/A",IF($E10&lt;TODAY(),"OVERDUE / IMMEDIATE",IF($E10&lt;=TODAY()+30,"DARK RED - &lt;1 MONTH",IF($E10&lt;=EDATE(TODAY(),3),"RED - 1 TO 3 MONTHS",IF($E10&lt;=EDATE(TODAY(),4),"YELLOW - 3 TO 4 MONTHS",IF($E10&lt;=EDATE(TODAY(),6),"GREEN - 4 TO 6 MONTHS","MONITOR &gt;6 MONTHS"))))))</x:f>
        <x:v>OVERDUE / IMMEDIATE</x:v>
      </x:c>
      <x:c r="H10" s="53" t="str">
        <x:v>Load Line Inspection status: Imminent</x:v>
      </x:c>
    </x:row>
    <x:row r="11" ht="32" customHeight="1">
      <x:c r="A11" s="276" t="str">
        <x:v>Cargo Ship Safety Construction Certificate (Harmonized)</x:v>
      </x:c>
      <x:c r="B11" s="277" t="str">
        <x:v>Lloyd's Register (LR)</x:v>
      </x:c>
      <x:c r="C11" s="278" t="n">
        <x:v>45789</x:v>
      </x:c>
      <x:c r="D11" s="278" t="n">
        <x:v>47150</x:v>
      </x:c>
      <x:c r="E11" s="278" t="n">
        <x:v>46055</x:v>
      </x:c>
      <x:c r="F11" s="277" t="str">
        <x:v>SCA/SCI window: 03 Nov 2025 - 01 May 2026; SCR renewal: 02 Nov 2028 - 01 Feb 2029</x:v>
      </x:c>
      <x:c r="G11" s="279" t="str">
        <x:f>IF($E11="","N/A",IF($E11&lt;TODAY(),"OVERDUE / IMMEDIATE",IF($E11&lt;=TODAY()+30,"DARK RED - &lt;1 MONTH",IF($E11&lt;=EDATE(TODAY(),3),"RED - 1 TO 3 MONTHS",IF($E11&lt;=EDATE(TODAY(),4),"YELLOW - 3 TO 4 MONTHS",IF($E11&lt;=EDATE(TODAY(),6),"GREEN - 4 TO 6 MONTHS","MONITOR &gt;6 MONTHS"))))))</x:f>
        <x:v>OVERDUE / IMMEDIATE</x:v>
      </x:c>
      <x:c r="H11" s="53" t="str">
        <x:v>SAFCON Annual/Intermediate status: Imminent</x:v>
      </x:c>
    </x:row>
    <x:row r="12" ht="32" customHeight="1">
      <x:c r="A12" s="276" t="str">
        <x:v>Cargo Ship Safety Equipment Certificate (Harmonized)</x:v>
      </x:c>
      <x:c r="B12" s="277" t="str">
        <x:v>Lloyd's Register (LR)</x:v>
      </x:c>
      <x:c r="C12" s="278" t="n">
        <x:v>45789</x:v>
      </x:c>
      <x:c r="D12" s="278" t="n">
        <x:v>47150</x:v>
      </x:c>
      <x:c r="E12" s="278" t="n">
        <x:v>46055</x:v>
      </x:c>
      <x:c r="F12" s="277" t="str">
        <x:v>SEA/SEI window: 03 Nov 2025 - 01 May 2026; SER renewal: 02 Nov 2028 - 01 Feb 2029</x:v>
      </x:c>
      <x:c r="G12" s="279" t="str">
        <x:f>IF($E12="","N/A",IF($E12&lt;TODAY(),"OVERDUE / IMMEDIATE",IF($E12&lt;=TODAY()+30,"DARK RED - &lt;1 MONTH",IF($E12&lt;=EDATE(TODAY(),3),"RED - 1 TO 3 MONTHS",IF($E12&lt;=EDATE(TODAY(),4),"YELLOW - 3 TO 4 MONTHS",IF($E12&lt;=EDATE(TODAY(),6),"GREEN - 4 TO 6 MONTHS","MONITOR &gt;6 MONTHS"))))))</x:f>
        <x:v>OVERDUE / IMMEDIATE</x:v>
      </x:c>
      <x:c r="H12" s="53" t="str">
        <x:v>Safety Equipment Annual/Periodical status: Imminent</x:v>
      </x:c>
    </x:row>
    <x:row r="13" ht="32" customHeight="1">
      <x:c r="A13" s="276" t="str">
        <x:v>Cargo Ship Safety Radio Certificate (Harmonized)</x:v>
      </x:c>
      <x:c r="B13" s="277" t="str">
        <x:v>Lloyd's Register (LR)</x:v>
      </x:c>
      <x:c r="C13" s="278" t="n">
        <x:v>45789</x:v>
      </x:c>
      <x:c r="D13" s="278" t="n">
        <x:v>47150</x:v>
      </x:c>
      <x:c r="E13" s="278" t="n">
        <x:v>46055</x:v>
      </x:c>
      <x:c r="F13" s="277" t="str">
        <x:v>RTP window: 03 Nov 2025 - 01 May 2026; RTR renewal: 02 Nov 2028 - 01 Feb 2029</x:v>
      </x:c>
      <x:c r="G13" s="279" t="str">
        <x:f>IF($E13="","N/A",IF($E13&lt;TODAY(),"OVERDUE / IMMEDIATE",IF($E13&lt;=TODAY()+30,"DARK RED - &lt;1 MONTH",IF($E13&lt;=EDATE(TODAY(),3),"RED - 1 TO 3 MONTHS",IF($E13&lt;=EDATE(TODAY(),4),"YELLOW - 3 TO 4 MONTHS",IF($E13&lt;=EDATE(TODAY(),6),"GREEN - 4 TO 6 MONTHS","MONITOR &gt;6 MONTHS"))))))</x:f>
        <x:v>OVERDUE / IMMEDIATE</x:v>
      </x:c>
      <x:c r="H13" s="53" t="str">
        <x:v>Radiotelephony Periodical status: Imminent</x:v>
      </x:c>
    </x:row>
    <x:row r="14" ht="32" customHeight="1">
      <x:c r="A14" s="276" t="str">
        <x:v>International Oil Pollution Prevention Certificate</x:v>
      </x:c>
      <x:c r="B14" s="277" t="str">
        <x:v>Lloyd's Register (LR)</x:v>
      </x:c>
      <x:c r="C14" s="278" t="n">
        <x:v>45789</x:v>
      </x:c>
      <x:c r="D14" s="278" t="n">
        <x:v>47150</x:v>
      </x:c>
      <x:c r="E14" s="278" t="n">
        <x:v>46055</x:v>
      </x:c>
      <x:c r="F14" s="277" t="str">
        <x:v>MOA/MOI window: 03 Nov 2025 - 01 May 2026; MOR renewal: 02 Nov 2028 - 01 Feb 2029</x:v>
      </x:c>
      <x:c r="G14" s="279" t="str">
        <x:f>IF($E14="","N/A",IF($E14&lt;TODAY(),"OVERDUE / IMMEDIATE",IF($E14&lt;=TODAY()+30,"DARK RED - &lt;1 MONTH",IF($E14&lt;=EDATE(TODAY(),3),"RED - 1 TO 3 MONTHS",IF($E14&lt;=EDATE(TODAY(),4),"YELLOW - 3 TO 4 MONTHS",IF($E14&lt;=EDATE(TODAY(),6),"GREEN - 4 TO 6 MONTHS","MONITOR &gt;6 MONTHS"))))))</x:f>
        <x:v>OVERDUE / IMMEDIATE</x:v>
      </x:c>
      <x:c r="H14" s="53" t="str">
        <x:v>MARPOL I Annual/Intermediate status: Imminent</x:v>
      </x:c>
    </x:row>
    <x:row r="15" ht="32" customHeight="1">
      <x:c r="A15" s="276" t="str">
        <x:v>International Sewage Pollution Prevention Certificate</x:v>
      </x:c>
      <x:c r="B15" s="277" t="str">
        <x:v>Lloyd's Register (LR)</x:v>
      </x:c>
      <x:c r="C15" s="278" t="n">
        <x:v>45324</x:v>
      </x:c>
      <x:c r="D15" s="278" t="n">
        <x:v>47150</x:v>
      </x:c>
      <x:c r="E15" s="278" t="n">
        <x:v>47150</x:v>
      </x:c>
      <x:c r="F15" s="277" t="str">
        <x:v>MSR renewal window: 02 Nov 2028 - 01 Feb 2029</x:v>
      </x:c>
      <x:c r="G15" s="279" t="str">
        <x:f>IF($E15="","N/A",IF($E15&lt;TODAY(),"OVERDUE / IMMEDIATE",IF($E15&lt;=TODAY()+30,"DARK RED - &lt;1 MONTH",IF($E15&lt;=EDATE(TODAY(),3),"RED - 1 TO 3 MONTHS",IF($E15&lt;=EDATE(TODAY(),4),"YELLOW - 3 TO 4 MONTHS",IF($E15&lt;=EDATE(TODAY(),6),"GREEN - 4 TO 6 MONTHS","MONITOR &gt;6 MONTHS"))))))</x:f>
        <x:v>MONITOR &gt;6 MONTHS</x:v>
      </x:c>
      <x:c r="H15" s="53" t="str">
        <x:v>MARPOL IV Renewal status: Not due</x:v>
      </x:c>
    </x:row>
    <x:row r="16" ht="32" customHeight="1">
      <x:c r="A16" s="276" t="str">
        <x:v>International Air Pollution Prevention Certificate (Harmonized)</x:v>
      </x:c>
      <x:c r="B16" s="277" t="str">
        <x:v>Lloyd's Register (LR)</x:v>
      </x:c>
      <x:c r="C16" s="278" t="n">
        <x:v>45789</x:v>
      </x:c>
      <x:c r="D16" s="278" t="n">
        <x:v>47150</x:v>
      </x:c>
      <x:c r="E16" s="278" t="n">
        <x:v>46055</x:v>
      </x:c>
      <x:c r="F16" s="277" t="str">
        <x:v>MAA/MAI window: 03 Nov 2025 - 01 May 2026; MAR renewal: 02 Nov 2028 - 01 Feb 2029</x:v>
      </x:c>
      <x:c r="G16" s="280" t="str">
        <x:f>IF($E16="","N/A",IF($E16&lt;TODAY(),"OVERDUE / IMMEDIATE",IF($E16&lt;=TODAY()+30,"DARK RED - &lt;1 MONTH",IF($E16&lt;=EDATE(TODAY(),3),"RED - 1 TO 3 MONTHS",IF($E16&lt;=EDATE(TODAY(),4),"YELLOW - 3 TO 4 MONTHS",IF($E16&lt;=EDATE(TODAY(),6),"GREEN - 4 TO 6 MONTHS","MONITOR &gt;6 MONTHS"))))))</x:f>
        <x:v>OVERDUE / IMMEDIATE</x:v>
      </x:c>
      <x:c r="H16" s="53" t="str">
        <x:v>MARPOL VI Annual/Intermediate status: Imminent</x:v>
      </x:c>
    </x:row>
    <x:row r="17" ht="32" customHeight="1">
      <x:c r="A17" s="276" t="str">
        <x:v>International Ballast Water Management Certificate</x:v>
      </x:c>
      <x:c r="B17" s="277" t="str">
        <x:v>Lloyd's Register (LR)</x:v>
      </x:c>
      <x:c r="C17" s="278" t="n">
        <x:v>45789</x:v>
      </x:c>
      <x:c r="D17" s="278" t="n">
        <x:v>47150</x:v>
      </x:c>
      <x:c r="E17" s="278" t="n">
        <x:v>46055</x:v>
      </x:c>
      <x:c r="F17" s="277" t="str">
        <x:v>BWA/BWI window: 03 Nov 2025 - 01 May 2026; BWR renewal: 02 Nov 2028 - 01 Feb 2029</x:v>
      </x:c>
      <x:c r="G17" s="279" t="str">
        <x:f>IF($E17="","N/A",IF($E17&lt;TODAY(),"OVERDUE / IMMEDIATE",IF($E17&lt;=TODAY()+30,"DARK RED - &lt;1 MONTH",IF($E17&lt;=EDATE(TODAY(),3),"RED - 1 TO 3 MONTHS",IF($E17&lt;=EDATE(TODAY(),4),"YELLOW - 3 TO 4 MONTHS",IF($E17&lt;=EDATE(TODAY(),6),"GREEN - 4 TO 6 MONTHS","MONITOR &gt;6 MONTHS"))))))</x:f>
        <x:v>OVERDUE / IMMEDIATE</x:v>
      </x:c>
      <x:c r="H17" s="53" t="str">
        <x:v>Ballast Water Annual/Intermediate status: Imminent</x:v>
      </x:c>
    </x:row>
    <x:row r="18" ht="32" customHeight="1">
      <x:c r="A18" s="276" t="str">
        <x:v>Inventory of Hazardous Materials Certificate</x:v>
      </x:c>
      <x:c r="B18" s="277" t="str">
        <x:v>Lloyd's Register (LR)</x:v>
      </x:c>
      <x:c r="C18" s="278" t="n">
        <x:v>45789</x:v>
      </x:c>
      <x:c r="D18" s="278" t="n">
        <x:v>47150</x:v>
      </x:c>
      <x:c r="E18" s="278" t="n">
        <x:v>46055</x:v>
      </x:c>
      <x:c r="F18" s="277" t="str">
        <x:v>HMA window: 03 Nov 2025 - 01 May 2026; HMR renewal: 02 Nov 2028 - 01 Feb 2029</x:v>
      </x:c>
      <x:c r="G18" s="280" t="str">
        <x:f>IF($E18="","N/A",IF($E18&lt;TODAY(),"OVERDUE / IMMEDIATE",IF($E18&lt;=TODAY()+30,"DARK RED - &lt;1 MONTH",IF($E18&lt;=EDATE(TODAY(),3),"RED - 1 TO 3 MONTHS",IF($E18&lt;=EDATE(TODAY(),4),"YELLOW - 3 TO 4 MONTHS",IF($E18&lt;=EDATE(TODAY(),6),"GREEN - 4 TO 6 MONTHS","MONITOR &gt;6 MONTHS"))))))</x:f>
        <x:v>OVERDUE / IMMEDIATE</x:v>
      </x:c>
      <x:c r="H18" s="53" t="str">
        <x:v>IHM Annual status: Imminent</x:v>
      </x:c>
    </x:row>
    <x:row r="19" ht="32" customHeight="1">
      <x:c r="A19" s="276" t="str">
        <x:v>Safety Management Certificate</x:v>
      </x:c>
      <x:c r="B19" s="277" t="str">
        <x:v>Lloyd's Register (LR)</x:v>
      </x:c>
      <x:c r="C19" s="278" t="n">
        <x:v>45708</x:v>
      </x:c>
      <x:c r="D19" s="278" t="n">
        <x:v>47533</x:v>
      </x:c>
      <x:c r="E19" s="278" t="n">
        <x:v>46803</x:v>
      </x:c>
      <x:c r="F19" s="277" t="str">
        <x:v>ISM Intermediate window: 21 Feb 2027 - 20 Feb 2028</x:v>
      </x:c>
      <x:c r="G19" s="279" t="str">
        <x:f>IF($E19="","N/A",IF($E19&lt;TODAY(),"OVERDUE / IMMEDIATE",IF($E19&lt;=TODAY()+30,"DARK RED - &lt;1 MONTH",IF($E19&lt;=EDATE(TODAY(),3),"RED - 1 TO 3 MONTHS",IF($E19&lt;=EDATE(TODAY(),4),"YELLOW - 3 TO 4 MONTHS",IF($E19&lt;=EDATE(TODAY(),6),"GREEN - 4 TO 6 MONTHS","MONITOR &gt;6 MONTHS"))))))</x:f>
        <x:v>MONITOR &gt;6 MONTHS</x:v>
      </x:c>
      <x:c r="H19" s="53" t="str">
        <x:v>SMCP status: Not due</x:v>
      </x:c>
    </x:row>
    <x:row r="20" ht="32" customHeight="1">
      <x:c r="A20" s="276" t="str">
        <x:v>International Ship Security Certificate</x:v>
      </x:c>
      <x:c r="B20" s="277" t="str">
        <x:v>Lloyd's Register (LR)</x:v>
      </x:c>
      <x:c r="C20" s="278" t="n">
        <x:v>45708</x:v>
      </x:c>
      <x:c r="D20" s="278" t="n">
        <x:v>47533</x:v>
      </x:c>
      <x:c r="E20" s="278" t="n">
        <x:v>46803</x:v>
      </x:c>
      <x:c r="F20" s="277" t="str">
        <x:v>ISPS Intermediate window: 21 Feb 2027 - 20 Feb 2028</x:v>
      </x:c>
      <x:c r="G20" s="280" t="str">
        <x:f>IF($E20="","N/A",IF($E20&lt;TODAY(),"OVERDUE / IMMEDIATE",IF($E20&lt;=TODAY()+30,"DARK RED - &lt;1 MONTH",IF($E20&lt;=EDATE(TODAY(),3),"RED - 1 TO 3 MONTHS",IF($E20&lt;=EDATE(TODAY(),4),"YELLOW - 3 TO 4 MONTHS",IF($E20&lt;=EDATE(TODAY(),6),"GREEN - 4 TO 6 MONTHS","MONITOR &gt;6 MONTHS"))))))</x:f>
        <x:v>MONITOR &gt;6 MONTHS</x:v>
      </x:c>
      <x:c r="H20" s="53" t="str">
        <x:v>ISSP status: Not due</x:v>
      </x:c>
    </x:row>
    <x:row r="21" ht="32" customHeight="1">
      <x:c r="A21" s="276" t="str">
        <x:v>Maritime Labour Certificate</x:v>
      </x:c>
      <x:c r="B21" s="277" t="str">
        <x:v>Lloyd's Register (LR)</x:v>
      </x:c>
      <x:c r="C21" s="278" t="n">
        <x:v>45708</x:v>
      </x:c>
      <x:c r="D21" s="278" t="n">
        <x:v>47533</x:v>
      </x:c>
      <x:c r="E21" s="278" t="n">
        <x:v>46803</x:v>
      </x:c>
      <x:c r="F21" s="277" t="str">
        <x:v>MLC Intermediate window: 21 Feb 2027 - 20 Feb 2028</x:v>
      </x:c>
      <x:c r="G21" s="280" t="str">
        <x:f>IF($E21="","N/A",IF($E21&lt;TODAY(),"OVERDUE / IMMEDIATE",IF($E21&lt;=TODAY()+30,"DARK RED - &lt;1 MONTH",IF($E21&lt;=EDATE(TODAY(),3),"RED - 1 TO 3 MONTHS",IF($E21&lt;=EDATE(TODAY(),4),"YELLOW - 3 TO 4 MONTHS",IF($E21&lt;=EDATE(TODAY(),6),"GREEN - 4 TO 6 MONTHS","MONITOR &gt;6 MONTHS"))))))</x:f>
        <x:v>MONITOR &gt;6 MONTHS</x:v>
      </x:c>
      <x:c r="H21" s="53" t="str">
        <x:v>MLCP status: Not due</x:v>
      </x:c>
    </x:row>
    <x:row r="22" ht="32" customHeight="1">
      <x:c r="A22" s="276" t="str">
        <x:v>International Tonnage Certificate (1969)</x:v>
      </x:c>
      <x:c r="B22" s="277" t="str">
        <x:v>Lloyd's Register (LR)</x:v>
      </x:c>
      <x:c r="C22" s="278"/>
      <x:c r="D22" s="278"/>
      <x:c r="E22" s="278"/>
      <x:c r="F22" s="277" t="str">
        <x:v>Permanent certificate / no periodical due date stated in LR survey status</x:v>
      </x:c>
      <x:c r="G22" s="280" t="str">
        <x:f>IF($E22="","N/A",IF($E22&lt;TODAY(),"OVERDUE / IMMEDIATE",IF($E22&lt;=TODAY()+30,"DARK RED - &lt;1 MONTH",IF($E22&lt;=EDATE(TODAY(),3),"RED - 1 TO 3 MONTHS",IF($E22&lt;=EDATE(TODAY(),4),"YELLOW - 3 TO 4 MONTHS",IF($E22&lt;=EDATE(TODAY(),6),"GREEN - 4 TO 6 MONTHS","MONITOR &gt;6 MONTHS"))))))</x:f>
        <x:v>N/A</x:v>
      </x:c>
      <x:c r="H22" s="53" t="str">
        <x:v>For reference only</x:v>
      </x:c>
    </x:row>
    <x:row r="23" ht="32" customHeight="1">
      <x:c r="A23" s="276" t="str">
        <x:v>International Energy Efficiency Certificate</x:v>
      </x:c>
      <x:c r="B23" s="277" t="str">
        <x:v>Lloyd's Register (LR)</x:v>
      </x:c>
      <x:c r="C23" s="278"/>
      <x:c r="D23" s="278"/>
      <x:c r="E23" s="278"/>
      <x:c r="F23" s="277" t="str">
        <x:v>No periodical due date stated in LR survey status</x:v>
      </x:c>
      <x:c r="G23" s="280" t="str">
        <x:f>IF($E23="","N/A",IF($E23&lt;TODAY(),"OVERDUE / IMMEDIATE",IF($E23&lt;=TODAY()+30,"DARK RED - &lt;1 MONTH",IF($E23&lt;=EDATE(TODAY(),3),"RED - 1 TO 3 MONTHS",IF($E23&lt;=EDATE(TODAY(),4),"YELLOW - 3 TO 4 MONTHS",IF($E23&lt;=EDATE(TODAY(),6),"GREEN - 4 TO 6 MONTHS","MONITOR &gt;6 MONTHS"))))))</x:f>
        <x:v>N/A</x:v>
      </x:c>
      <x:c r="H23" s="53" t="str">
        <x:v>For reference only</x:v>
      </x:c>
    </x:row>
    <x:row r="24" ht="32" customHeight="1">
      <x:c r="A24" s="246"/>
      <x:c r="B24" s="247"/>
      <x:c r="C24" s="248"/>
      <x:c r="D24" s="248"/>
      <x:c r="E24" s="248"/>
      <x:c r="F24" s="247"/>
      <x:c r="G24" s="249"/>
      <x:c r="H24" s="274"/>
    </x:row>
    <x:row r="25" ht="32" customHeight="1">
      <x:c r="A25" s="263" t="str">
        <x:v>PERIODICAL SURVEY / AUDIT WINDOWS FROM LR SURVEY STATUS</x:v>
      </x:c>
      <x:c r="B25" s="264"/>
      <x:c r="C25" s="265"/>
      <x:c r="D25" s="265"/>
      <x:c r="E25" s="265"/>
      <x:c r="F25" s="264"/>
      <x:c r="G25" s="266"/>
      <x:c r="H25" s="230"/>
    </x:row>
    <x:row r="26" ht="32" customHeight="1">
      <x:c r="A26" s="276" t="str">
        <x:v>Name of Certificate / Periodical Survey</x:v>
      </x:c>
      <x:c r="B26" s="277" t="str">
        <x:v>Name of Organization</x:v>
      </x:c>
      <x:c r="C26" s="278" t="str">
        <x:v>Issuing / Assigned Date</x:v>
      </x:c>
      <x:c r="D26" s="278" t="str">
        <x:v>Expiration / Renewal Date</x:v>
      </x:c>
      <x:c r="E26" s="278" t="str">
        <x:v>Due Date for Periodical Survey</x:v>
      </x:c>
      <x:c r="F26" s="277" t="str">
        <x:v>Window to Complete Survey / Audit</x:v>
      </x:c>
      <x:c r="G26" s="281" t="str">
        <x:f>IF($E26="","N/A",IF($E26&lt;TODAY(),"OVERDUE / IMMEDIATE",IF($E26&lt;=TODAY()+30,"DARK RED - &lt;1 MONTH",IF($E26&lt;=EDATE(TODAY(),3),"RED - 1 TO 3 MONTHS",IF($E26&lt;=EDATE(TODAY(),4),"YELLOW - 3 TO 4 MONTHS",IF($E26&lt;=EDATE(TODAY(),6),"GREEN - 4 TO 6 MONTHS","MONITOR &gt;6 MONTHS"))))))</x:f>
        <x:v>MONITOR &gt;6 MONTHS</x:v>
      </x:c>
      <x:c r="H26" s="53" t="str">
        <x:v>LR Status / Remarks</x:v>
      </x:c>
    </x:row>
    <x:row r="27" ht="32" customHeight="1">
      <x:c r="A27" s="276" t="str">
        <x:v>AS - ANNUAL</x:v>
      </x:c>
      <x:c r="B27" s="277" t="str">
        <x:v>Lloyd's Register (LR)</x:v>
      </x:c>
      <x:c r="C27" s="278" t="n">
        <x:v>45789</x:v>
      </x:c>
      <x:c r="D27" s="278"/>
      <x:c r="E27" s="278" t="n">
        <x:v>46055</x:v>
      </x:c>
      <x:c r="F27" s="277" t="str">
        <x:v>03 Nov 2025 - 01 May 2026</x:v>
      </x:c>
      <x:c r="G27" s="280" t="str">
        <x:f>IF($E27="","N/A",IF($E27&lt;TODAY(),"OVERDUE / IMMEDIATE",IF($E27&lt;=TODAY()+30,"DARK RED - &lt;1 MONTH",IF($E27&lt;=EDATE(TODAY(),3),"RED - 1 TO 3 MONTHS",IF($E27&lt;=EDATE(TODAY(),4),"YELLOW - 3 TO 4 MONTHS",IF($E27&lt;=EDATE(TODAY(),6),"GREEN - 4 TO 6 MONTHS","MONITOR &gt;6 MONTHS"))))))</x:f>
        <x:v>OVERDUE / IMMEDIATE</x:v>
      </x:c>
      <x:c r="H27" s="53" t="str">
        <x:v>Imminent</x:v>
      </x:c>
    </x:row>
    <x:row r="28" ht="32" customHeight="1">
      <x:c r="A28" s="276" t="str">
        <x:v>BTMS - BOTTOM SURVEY</x:v>
      </x:c>
      <x:c r="B28" s="277" t="str">
        <x:v>Lloyd's Register (LR)</x:v>
      </x:c>
      <x:c r="C28" s="278" t="n">
        <x:v>45299</x:v>
      </x:c>
      <x:c r="D28" s="278"/>
      <x:c r="E28" s="278" t="n">
        <x:v>46394</x:v>
      </x:c>
      <x:c r="F28" s="277" t="str">
        <x:v>07 Jan 2027 - 07 Jan 2027</x:v>
      </x:c>
      <x:c r="G28" s="280" t="str">
        <x:f>IF($E28="","N/A",IF($E28&lt;TODAY(),"OVERDUE / IMMEDIATE",IF($E28&lt;=TODAY()+30,"DARK RED - &lt;1 MONTH",IF($E28&lt;=EDATE(TODAY(),3),"RED - 1 TO 3 MONTHS",IF($E28&lt;=EDATE(TODAY(),4),"YELLOW - 3 TO 4 MONTHS",IF($E28&lt;=EDATE(TODAY(),6),"GREEN - 4 TO 6 MONTHS","MONITOR &gt;6 MONTHS"))))))</x:f>
        <x:v>MONITOR &gt;6 MONTHS</x:v>
      </x:c>
      <x:c r="H28" s="53" t="str">
        <x:v>Not due</x:v>
      </x:c>
    </x:row>
    <x:row r="29" ht="32" customHeight="1">
      <x:c r="A29" s="276" t="str">
        <x:v>ITSS - HULL INTERMEDIATE</x:v>
      </x:c>
      <x:c r="B29" s="277" t="str">
        <x:v>Lloyd's Register (LR)</x:v>
      </x:c>
      <x:c r="C29" s="278" t="n">
        <x:v>45324</x:v>
      </x:c>
      <x:c r="D29" s="278"/>
      <x:c r="E29" s="278" t="n">
        <x:v>46420</x:v>
      </x:c>
      <x:c r="F29" s="277" t="str">
        <x:v>03 Nov 2025 - 01 May 2027</x:v>
      </x:c>
      <x:c r="G29" s="280" t="str">
        <x:f>IF($E29="","N/A",IF($E29&lt;TODAY(),"OVERDUE / IMMEDIATE",IF($E29&lt;=TODAY()+30,"DARK RED - &lt;1 MONTH",IF($E29&lt;=EDATE(TODAY(),3),"RED - 1 TO 3 MONTHS",IF($E29&lt;=EDATE(TODAY(),4),"YELLOW - 3 TO 4 MONTHS",IF($E29&lt;=EDATE(TODAY(),6),"GREEN - 4 TO 6 MONTHS","MONITOR &gt;6 MONTHS"))))))</x:f>
        <x:v>MONITOR &gt;6 MONTHS</x:v>
      </x:c>
      <x:c r="H29" s="53" t="str">
        <x:v>Due soon</x:v>
      </x:c>
    </x:row>
    <x:row r="30" ht="32" customHeight="1">
      <x:c r="A30" s="276" t="str">
        <x:v>SS - SPECIAL</x:v>
      </x:c>
      <x:c r="B30" s="277" t="str">
        <x:v>Lloyd's Register (LR)</x:v>
      </x:c>
      <x:c r="C30" s="278" t="n">
        <x:v>45324</x:v>
      </x:c>
      <x:c r="D30" s="278"/>
      <x:c r="E30" s="278" t="n">
        <x:v>47150</x:v>
      </x:c>
      <x:c r="F30" s="277" t="str">
        <x:v>02 Nov 2028 - 01 Feb 2029</x:v>
      </x:c>
      <x:c r="G30" s="280" t="str">
        <x:f>IF($E30="","N/A",IF($E30&lt;TODAY(),"OVERDUE / IMMEDIATE",IF($E30&lt;=TODAY()+30,"DARK RED - &lt;1 MONTH",IF($E30&lt;=EDATE(TODAY(),3),"RED - 1 TO 3 MONTHS",IF($E30&lt;=EDATE(TODAY(),4),"YELLOW - 3 TO 4 MONTHS",IF($E30&lt;=EDATE(TODAY(),6),"GREEN - 4 TO 6 MONTHS","MONITOR &gt;6 MONTHS"))))))</x:f>
        <x:v>MONITOR &gt;6 MONTHS</x:v>
      </x:c>
      <x:c r="H30" s="53" t="str">
        <x:v>Not due</x:v>
      </x:c>
    </x:row>
    <x:row r="31" ht="32" customHeight="1">
      <x:c r="A31" s="276" t="str">
        <x:v>ABS1 - AUXILIARY BOILER</x:v>
      </x:c>
      <x:c r="B31" s="277" t="str">
        <x:v>Lloyd's Register (LR)</x:v>
      </x:c>
      <x:c r="C31" s="278" t="n">
        <x:v>45299</x:v>
      </x:c>
      <x:c r="D31" s="278"/>
      <x:c r="E31" s="278" t="n">
        <x:v>46394</x:v>
      </x:c>
      <x:c r="F31" s="277" t="str">
        <x:v>07 Jan 2027 - 07 Jan 2027</x:v>
      </x:c>
      <x:c r="G31" s="280" t="str">
        <x:f>IF($E31="","N/A",IF($E31&lt;TODAY(),"OVERDUE / IMMEDIATE",IF($E31&lt;=TODAY()+30,"DARK RED - &lt;1 MONTH",IF($E31&lt;=EDATE(TODAY(),3),"RED - 1 TO 3 MONTHS",IF($E31&lt;=EDATE(TODAY(),4),"YELLOW - 3 TO 4 MONTHS",IF($E31&lt;=EDATE(TODAY(),6),"GREEN - 4 TO 6 MONTHS","MONITOR &gt;6 MONTHS"))))))</x:f>
        <x:v>MONITOR &gt;6 MONTHS</x:v>
      </x:c>
      <x:c r="H31" s="53" t="str">
        <x:v>Not due</x:v>
      </x:c>
    </x:row>
    <x:row r="32" ht="32" customHeight="1">
      <x:c r="A32" s="276" t="str">
        <x:v>TS1 - SCREWSHAFT</x:v>
      </x:c>
      <x:c r="B32" s="277" t="str">
        <x:v>Lloyd's Register (LR)</x:v>
      </x:c>
      <x:c r="C32" s="278" t="n">
        <x:v>45299</x:v>
      </x:c>
      <x:c r="D32" s="278"/>
      <x:c r="E32" s="278" t="n">
        <x:v>47125</x:v>
      </x:c>
      <x:c r="F32" s="277" t="str">
        <x:v>08 Oct 2028 - 07 Jan 2029</x:v>
      </x:c>
      <x:c r="G32" s="280" t="str">
        <x:f>IF($E32="","N/A",IF($E32&lt;TODAY(),"OVERDUE / IMMEDIATE",IF($E32&lt;=TODAY()+30,"DARK RED - &lt;1 MONTH",IF($E32&lt;=EDATE(TODAY(),3),"RED - 1 TO 3 MONTHS",IF($E32&lt;=EDATE(TODAY(),4),"YELLOW - 3 TO 4 MONTHS",IF($E32&lt;=EDATE(TODAY(),6),"GREEN - 4 TO 6 MONTHS","MONITOR &gt;6 MONTHS"))))))</x:f>
        <x:v>MONITOR &gt;6 MONTHS</x:v>
      </x:c>
      <x:c r="H32" s="53" t="str">
        <x:v>Not due</x:v>
      </x:c>
    </x:row>
    <x:row r="33" ht="32" customHeight="1">
      <x:c r="A33" s="276" t="str">
        <x:v>SPS - STEAMPIPES</x:v>
      </x:c>
      <x:c r="B33" s="277" t="str">
        <x:v>Lloyd's Register (LR)</x:v>
      </x:c>
      <x:c r="C33" s="278" t="n">
        <x:v>45307</x:v>
      </x:c>
      <x:c r="D33" s="278"/>
      <x:c r="E33" s="278" t="n">
        <x:v>47133</x:v>
      </x:c>
      <x:c r="F33" s="277" t="str">
        <x:v>15 Jan 2029 - 15 Jan 2029</x:v>
      </x:c>
      <x:c r="G33" s="280" t="str">
        <x:f>IF($E33="","N/A",IF($E33&lt;TODAY(),"OVERDUE / IMMEDIATE",IF($E33&lt;=TODAY()+30,"DARK RED - &lt;1 MONTH",IF($E33&lt;=EDATE(TODAY(),3),"RED - 1 TO 3 MONTHS",IF($E33&lt;=EDATE(TODAY(),4),"YELLOW - 3 TO 4 MONTHS",IF($E33&lt;=EDATE(TODAY(),6),"GREEN - 4 TO 6 MONTHS","MONITOR &gt;6 MONTHS"))))))</x:f>
        <x:v>MONITOR &gt;6 MONTHS</x:v>
      </x:c>
      <x:c r="H33" s="53" t="str">
        <x:v>Not due</x:v>
      </x:c>
    </x:row>
    <x:row r="34" ht="32" customHeight="1">
      <x:c r="A34" s="276" t="str">
        <x:v>CSM - CONTINUOUS - MACHINERY</x:v>
      </x:c>
      <x:c r="B34" s="277" t="str">
        <x:v>Lloyd's Register (LR)</x:v>
      </x:c>
      <x:c r="C34" s="278" t="n">
        <x:v>45324</x:v>
      </x:c>
      <x:c r="D34" s="278"/>
      <x:c r="E34" s="278" t="n">
        <x:v>47150</x:v>
      </x:c>
      <x:c r="F34" s="277" t="str">
        <x:v>02 Nov 2028 - 01 Feb 2029</x:v>
      </x:c>
      <x:c r="G34" s="280" t="str">
        <x:f>IF($E34="","N/A",IF($E34&lt;TODAY(),"OVERDUE / IMMEDIATE",IF($E34&lt;=TODAY()+30,"DARK RED - &lt;1 MONTH",IF($E34&lt;=EDATE(TODAY(),3),"RED - 1 TO 3 MONTHS",IF($E34&lt;=EDATE(TODAY(),4),"YELLOW - 3 TO 4 MONTHS",IF($E34&lt;=EDATE(TODAY(),6),"GREEN - 4 TO 6 MONTHS","MONITOR &gt;6 MONTHS"))))))</x:f>
        <x:v>MONITOR &gt;6 MONTHS</x:v>
      </x:c>
      <x:c r="H34" s="53" t="str">
        <x:v>Not due</x:v>
      </x:c>
    </x:row>
    <x:row r="35" ht="32" customHeight="1">
      <x:c r="A35" s="276" t="str">
        <x:v>PLI - LOAD LINE INSPECTION</x:v>
      </x:c>
      <x:c r="B35" s="277" t="str">
        <x:v>Lloyd's Register (LR)</x:v>
      </x:c>
      <x:c r="C35" s="278" t="n">
        <x:v>45789</x:v>
      </x:c>
      <x:c r="D35" s="278"/>
      <x:c r="E35" s="278" t="n">
        <x:v>46055</x:v>
      </x:c>
      <x:c r="F35" s="277" t="str">
        <x:v>03 Nov 2025 - 01 May 2026</x:v>
      </x:c>
      <x:c r="G35" s="280" t="str">
        <x:f>IF($E35="","N/A",IF($E35&lt;TODAY(),"OVERDUE / IMMEDIATE",IF($E35&lt;=TODAY()+30,"DARK RED - &lt;1 MONTH",IF($E35&lt;=EDATE(TODAY(),3),"RED - 1 TO 3 MONTHS",IF($E35&lt;=EDATE(TODAY(),4),"YELLOW - 3 TO 4 MONTHS",IF($E35&lt;=EDATE(TODAY(),6),"GREEN - 4 TO 6 MONTHS","MONITOR &gt;6 MONTHS"))))))</x:f>
        <x:v>OVERDUE / IMMEDIATE</x:v>
      </x:c>
      <x:c r="H35" s="53" t="str">
        <x:v>Imminent</x:v>
      </x:c>
    </x:row>
    <x:row r="36" ht="32" customHeight="1">
      <x:c r="A36" s="276" t="str">
        <x:v>PLR - LOAD LINE RENEWAL</x:v>
      </x:c>
      <x:c r="B36" s="277" t="str">
        <x:v>Lloyd's Register (LR)</x:v>
      </x:c>
      <x:c r="C36" s="278" t="n">
        <x:v>45324</x:v>
      </x:c>
      <x:c r="D36" s="278"/>
      <x:c r="E36" s="278" t="n">
        <x:v>47150</x:v>
      </x:c>
      <x:c r="F36" s="277" t="str">
        <x:v>02 Nov 2028 - 01 Feb 2029</x:v>
      </x:c>
      <x:c r="G36" s="282" t="str">
        <x:f>IF($E36="","N/A",IF($E36&lt;TODAY(),"OVERDUE / IMMEDIATE",IF($E36&lt;=TODAY()+30,"DARK RED - &lt;1 MONTH",IF($E36&lt;=EDATE(TODAY(),3),"RED - 1 TO 3 MONTHS",IF($E36&lt;=EDATE(TODAY(),4),"YELLOW - 3 TO 4 MONTHS",IF($E36&lt;=EDATE(TODAY(),6),"GREEN - 4 TO 6 MONTHS","MONITOR &gt;6 MONTHS"))))))</x:f>
        <x:v>MONITOR &gt;6 MONTHS</x:v>
      </x:c>
      <x:c r="H36" s="53" t="str">
        <x:v>Not due</x:v>
      </x:c>
    </x:row>
    <x:row r="37" ht="32" customHeight="1">
      <x:c r="A37" s="283" t="str">
        <x:v>SCA - SAFCON ANNUAL</x:v>
      </x:c>
      <x:c r="B37" s="131" t="str">
        <x:v>Lloyd's Register (LR)</x:v>
      </x:c>
      <x:c r="C37" s="132" t="n">
        <x:v>45789</x:v>
      </x:c>
      <x:c r="D37" s="132"/>
      <x:c r="E37" s="132" t="n">
        <x:v>46055</x:v>
      </x:c>
      <x:c r="F37" s="131" t="str">
        <x:v>03 Nov 2025 - 01 May 2026</x:v>
      </x:c>
      <x:c r="G37" s="282" t="str">
        <x:f>IF($E37="","N/A",IF($E37&lt;TODAY(),"OVERDUE / IMMEDIATE",IF($E37&lt;=TODAY()+30,"DARK RED - &lt;1 MONTH",IF($E37&lt;=EDATE(TODAY(),3),"RED - 1 TO 3 MONTHS",IF($E37&lt;=EDATE(TODAY(),4),"YELLOW - 3 TO 4 MONTHS",IF($E37&lt;=EDATE(TODAY(),6),"GREEN - 4 TO 6 MONTHS","MONITOR &gt;6 MONTHS"))))))</x:f>
        <x:v>OVERDUE / IMMEDIATE</x:v>
      </x:c>
      <x:c r="H37" s="53" t="str">
        <x:v>Imminent</x:v>
      </x:c>
    </x:row>
    <x:row r="38" ht="32" customHeight="1">
      <x:c r="A38" s="130" t="str">
        <x:v>SCI - SAFCON INTERMEDIATE</x:v>
      </x:c>
      <x:c r="B38" s="131" t="str">
        <x:v>Lloyd's Register (LR)</x:v>
      </x:c>
      <x:c r="C38" s="132" t="n">
        <x:v>45324</x:v>
      </x:c>
      <x:c r="D38" s="132"/>
      <x:c r="E38" s="132" t="n">
        <x:v>46055</x:v>
      </x:c>
      <x:c r="F38" s="131" t="str">
        <x:v>03 Nov 2025 - 01 May 2026</x:v>
      </x:c>
      <x:c r="G38" s="133" t="str">
        <x:f>IF($E38="","N/A",IF($E38&lt;TODAY(),"OVERDUE / IMMEDIATE",IF($E38&lt;=TODAY()+30,"DARK RED - &lt;1 MONTH",IF($E38&lt;=EDATE(TODAY(),3),"RED - 1 TO 3 MONTHS",IF($E38&lt;=EDATE(TODAY(),4),"YELLOW - 3 TO 4 MONTHS",IF($E38&lt;=EDATE(TODAY(),6),"GREEN - 4 TO 6 MONTHS","MONITOR &gt;6 MONTHS"))))))</x:f>
        <x:v>OVERDUE / IMMEDIATE</x:v>
      </x:c>
      <x:c r="H38" s="53" t="str">
        <x:v>Imminent</x:v>
      </x:c>
    </x:row>
    <x:row r="39" ht="32" customHeight="1">
      <x:c r="A39" s="276" t="str">
        <x:v>SCR - SAFCON RENEWAL</x:v>
      </x:c>
      <x:c r="B39" s="277" t="str">
        <x:v>Lloyd's Register (LR)</x:v>
      </x:c>
      <x:c r="C39" s="278" t="n">
        <x:v>45324</x:v>
      </x:c>
      <x:c r="D39" s="278"/>
      <x:c r="E39" s="278" t="n">
        <x:v>47150</x:v>
      </x:c>
      <x:c r="F39" s="277" t="str">
        <x:v>02 Nov 2028 - 01 Feb 2029</x:v>
      </x:c>
      <x:c r="G39" s="279" t="str">
        <x:f>IF($E39="","N/A",IF($E39&lt;TODAY(),"OVERDUE / IMMEDIATE",IF($E39&lt;=TODAY()+30,"DARK RED - &lt;1 MONTH",IF($E39&lt;=EDATE(TODAY(),3),"RED - 1 TO 3 MONTHS",IF($E39&lt;=EDATE(TODAY(),4),"YELLOW - 3 TO 4 MONTHS",IF($E39&lt;=EDATE(TODAY(),6),"GREEN - 4 TO 6 MONTHS","MONITOR &gt;6 MONTHS"))))))</x:f>
        <x:v>MONITOR &gt;6 MONTHS</x:v>
      </x:c>
      <x:c r="H39" s="53" t="str">
        <x:v>Not due</x:v>
      </x:c>
    </x:row>
    <x:row r="40" ht="32" customHeight="1">
      <x:c r="A40" s="276" t="str">
        <x:v>SEA - SAFETY EQUIPMENT ANNUAL</x:v>
      </x:c>
      <x:c r="B40" s="277" t="str">
        <x:v>Lloyd's Register (LR)</x:v>
      </x:c>
      <x:c r="C40" s="278" t="n">
        <x:v>45789</x:v>
      </x:c>
      <x:c r="D40" s="278"/>
      <x:c r="E40" s="278" t="n">
        <x:v>46055</x:v>
      </x:c>
      <x:c r="F40" s="277" t="str">
        <x:v>03 Nov 2025 - 01 May 2026</x:v>
      </x:c>
      <x:c r="G40" s="279" t="str">
        <x:f>IF($E40="","N/A",IF($E40&lt;TODAY(),"OVERDUE / IMMEDIATE",IF($E40&lt;=TODAY()+30,"DARK RED - &lt;1 MONTH",IF($E40&lt;=EDATE(TODAY(),3),"RED - 1 TO 3 MONTHS",IF($E40&lt;=EDATE(TODAY(),4),"YELLOW - 3 TO 4 MONTHS",IF($E40&lt;=EDATE(TODAY(),6),"GREEN - 4 TO 6 MONTHS","MONITOR &gt;6 MONTHS"))))))</x:f>
        <x:v>OVERDUE / IMMEDIATE</x:v>
      </x:c>
      <x:c r="H40" s="53" t="str">
        <x:v>Imminent</x:v>
      </x:c>
    </x:row>
    <x:row r="41" ht="32" customHeight="1">
      <x:c r="A41" s="276" t="str">
        <x:v>SEI - SAFETY EQUIPMENT PERIODICAL</x:v>
      </x:c>
      <x:c r="B41" s="277" t="str">
        <x:v>Lloyd's Register (LR)</x:v>
      </x:c>
      <x:c r="C41" s="278" t="n">
        <x:v>45324</x:v>
      </x:c>
      <x:c r="D41" s="278"/>
      <x:c r="E41" s="278" t="n">
        <x:v>46055</x:v>
      </x:c>
      <x:c r="F41" s="277" t="str">
        <x:v>03 Nov 2025 - 01 May 2026</x:v>
      </x:c>
      <x:c r="G41" s="279" t="str">
        <x:f>IF($E41="","N/A",IF($E41&lt;TODAY(),"OVERDUE / IMMEDIATE",IF($E41&lt;=TODAY()+30,"DARK RED - &lt;1 MONTH",IF($E41&lt;=EDATE(TODAY(),3),"RED - 1 TO 3 MONTHS",IF($E41&lt;=EDATE(TODAY(),4),"YELLOW - 3 TO 4 MONTHS",IF($E41&lt;=EDATE(TODAY(),6),"GREEN - 4 TO 6 MONTHS","MONITOR &gt;6 MONTHS"))))))</x:f>
        <x:v>OVERDUE / IMMEDIATE</x:v>
      </x:c>
      <x:c r="H41" s="53" t="str">
        <x:v>Imminent</x:v>
      </x:c>
    </x:row>
    <x:row r="42" ht="32" customHeight="1">
      <x:c r="A42" s="276" t="str">
        <x:v>SER - SAFETY EQUIPMENT RENEWAL</x:v>
      </x:c>
      <x:c r="B42" s="277" t="str">
        <x:v>Lloyd's Register (LR)</x:v>
      </x:c>
      <x:c r="C42" s="278" t="n">
        <x:v>45324</x:v>
      </x:c>
      <x:c r="D42" s="278"/>
      <x:c r="E42" s="278" t="n">
        <x:v>47150</x:v>
      </x:c>
      <x:c r="F42" s="277" t="str">
        <x:v>02 Nov 2028 - 01 Feb 2029</x:v>
      </x:c>
      <x:c r="G42" s="279" t="str">
        <x:f>IF($E42="","N/A",IF($E42&lt;TODAY(),"OVERDUE / IMMEDIATE",IF($E42&lt;=TODAY()+30,"DARK RED - &lt;1 MONTH",IF($E42&lt;=EDATE(TODAY(),3),"RED - 1 TO 3 MONTHS",IF($E42&lt;=EDATE(TODAY(),4),"YELLOW - 3 TO 4 MONTHS",IF($E42&lt;=EDATE(TODAY(),6),"GREEN - 4 TO 6 MONTHS","MONITOR &gt;6 MONTHS"))))))</x:f>
        <x:v>MONITOR &gt;6 MONTHS</x:v>
      </x:c>
      <x:c r="H42" s="53" t="str">
        <x:v>Not due</x:v>
      </x:c>
    </x:row>
    <x:row r="43" ht="32" customHeight="1">
      <x:c r="A43" s="276" t="str">
        <x:v>RTP - RADIOTEL. PERIODICAL</x:v>
      </x:c>
      <x:c r="B43" s="277" t="str">
        <x:v>Lloyd's Register (LR)</x:v>
      </x:c>
      <x:c r="C43" s="278" t="n">
        <x:v>45789</x:v>
      </x:c>
      <x:c r="D43" s="278"/>
      <x:c r="E43" s="278" t="n">
        <x:v>46055</x:v>
      </x:c>
      <x:c r="F43" s="277" t="str">
        <x:v>03 Nov 2025 - 01 May 2026</x:v>
      </x:c>
      <x:c r="G43" s="281" t="str">
        <x:f>IF($E43="","N/A",IF($E43&lt;TODAY(),"OVERDUE / IMMEDIATE",IF($E43&lt;=TODAY()+30,"DARK RED - &lt;1 MONTH",IF($E43&lt;=EDATE(TODAY(),3),"RED - 1 TO 3 MONTHS",IF($E43&lt;=EDATE(TODAY(),4),"YELLOW - 3 TO 4 MONTHS",IF($E43&lt;=EDATE(TODAY(),6),"GREEN - 4 TO 6 MONTHS","MONITOR &gt;6 MONTHS"))))))</x:f>
        <x:v>OVERDUE / IMMEDIATE</x:v>
      </x:c>
      <x:c r="H43" s="53" t="str">
        <x:v>Imminent</x:v>
      </x:c>
    </x:row>
    <x:row r="44" ht="32" customHeight="1">
      <x:c r="A44" s="276" t="str">
        <x:v>RTR - RADIOTEL. RENEWAL</x:v>
      </x:c>
      <x:c r="B44" s="277" t="str">
        <x:v>Lloyd's Register (LR)</x:v>
      </x:c>
      <x:c r="C44" s="278" t="n">
        <x:v>45324</x:v>
      </x:c>
      <x:c r="D44" s="278"/>
      <x:c r="E44" s="278" t="n">
        <x:v>47150</x:v>
      </x:c>
      <x:c r="F44" s="277" t="str">
        <x:v>02 Nov 2028 - 01 Feb 2029</x:v>
      </x:c>
      <x:c r="G44" s="281" t="str">
        <x:f>IF($E44="","N/A",IF($E44&lt;TODAY(),"OVERDUE / IMMEDIATE",IF($E44&lt;=TODAY()+30,"DARK RED - &lt;1 MONTH",IF($E44&lt;=EDATE(TODAY(),3),"RED - 1 TO 3 MONTHS",IF($E44&lt;=EDATE(TODAY(),4),"YELLOW - 3 TO 4 MONTHS",IF($E44&lt;=EDATE(TODAY(),6),"GREEN - 4 TO 6 MONTHS","MONITOR &gt;6 MONTHS"))))))</x:f>
        <x:v>MONITOR &gt;6 MONTHS</x:v>
      </x:c>
      <x:c r="H44" s="53" t="str">
        <x:v>Not due</x:v>
      </x:c>
    </x:row>
    <x:row r="45" ht="32" customHeight="1">
      <x:c r="A45" s="276" t="str">
        <x:v>MOA - MARPOL I (OIL) ANNUAL</x:v>
      </x:c>
      <x:c r="B45" s="277" t="str">
        <x:v>Lloyd's Register (LR)</x:v>
      </x:c>
      <x:c r="C45" s="278" t="n">
        <x:v>45789</x:v>
      </x:c>
      <x:c r="D45" s="278"/>
      <x:c r="E45" s="278" t="n">
        <x:v>46055</x:v>
      </x:c>
      <x:c r="F45" s="277" t="str">
        <x:v>03 Nov 2025 - 01 May 2026</x:v>
      </x:c>
      <x:c r="G45" s="281" t="str">
        <x:f>IF($E45="","N/A",IF($E45&lt;TODAY(),"OVERDUE / IMMEDIATE",IF($E45&lt;=TODAY()+30,"DARK RED - &lt;1 MONTH",IF($E45&lt;=EDATE(TODAY(),3),"RED - 1 TO 3 MONTHS",IF($E45&lt;=EDATE(TODAY(),4),"YELLOW - 3 TO 4 MONTHS",IF($E45&lt;=EDATE(TODAY(),6),"GREEN - 4 TO 6 MONTHS","MONITOR &gt;6 MONTHS"))))))</x:f>
        <x:v>OVERDUE / IMMEDIATE</x:v>
      </x:c>
      <x:c r="H45" s="53" t="str">
        <x:v>Imminent</x:v>
      </x:c>
    </x:row>
    <x:row r="46" ht="32" customHeight="1">
      <x:c r="A46" s="276" t="str">
        <x:v>MOI - MARPOL I (OIL) INTERMEDIATE</x:v>
      </x:c>
      <x:c r="B46" s="277" t="str">
        <x:v>Lloyd's Register (LR)</x:v>
      </x:c>
      <x:c r="C46" s="278" t="n">
        <x:v>45324</x:v>
      </x:c>
      <x:c r="D46" s="278"/>
      <x:c r="E46" s="278" t="n">
        <x:v>46055</x:v>
      </x:c>
      <x:c r="F46" s="277" t="str">
        <x:v>03 Nov 2025 - 01 May 2026</x:v>
      </x:c>
      <x:c r="G46" s="281" t="str">
        <x:f>IF($E46="","N/A",IF($E46&lt;TODAY(),"OVERDUE / IMMEDIATE",IF($E46&lt;=TODAY()+30,"DARK RED - &lt;1 MONTH",IF($E46&lt;=EDATE(TODAY(),3),"RED - 1 TO 3 MONTHS",IF($E46&lt;=EDATE(TODAY(),4),"YELLOW - 3 TO 4 MONTHS",IF($E46&lt;=EDATE(TODAY(),6),"GREEN - 4 TO 6 MONTHS","MONITOR &gt;6 MONTHS"))))))</x:f>
        <x:v>OVERDUE / IMMEDIATE</x:v>
      </x:c>
      <x:c r="H46" s="53" t="str">
        <x:v>Imminent</x:v>
      </x:c>
    </x:row>
    <x:row r="47" ht="32" customHeight="1">
      <x:c r="A47" s="276" t="str">
        <x:v>MOR - MARPOL I (OIL) RENEWAL</x:v>
      </x:c>
      <x:c r="B47" s="277" t="str">
        <x:v>Lloyd's Register (LR)</x:v>
      </x:c>
      <x:c r="C47" s="278" t="n">
        <x:v>45324</x:v>
      </x:c>
      <x:c r="D47" s="278"/>
      <x:c r="E47" s="278" t="n">
        <x:v>47150</x:v>
      </x:c>
      <x:c r="F47" s="277" t="str">
        <x:v>02 Nov 2028 - 01 Feb 2029</x:v>
      </x:c>
      <x:c r="G47" s="279" t="str">
        <x:f>IF($E47="","N/A",IF($E47&lt;TODAY(),"OVERDUE / IMMEDIATE",IF($E47&lt;=TODAY()+30,"DARK RED - &lt;1 MONTH",IF($E47&lt;=EDATE(TODAY(),3),"RED - 1 TO 3 MONTHS",IF($E47&lt;=EDATE(TODAY(),4),"YELLOW - 3 TO 4 MONTHS",IF($E47&lt;=EDATE(TODAY(),6),"GREEN - 4 TO 6 MONTHS","MONITOR &gt;6 MONTHS"))))))</x:f>
        <x:v>MONITOR &gt;6 MONTHS</x:v>
      </x:c>
      <x:c r="H47" s="53" t="str">
        <x:v>Not due</x:v>
      </x:c>
    </x:row>
    <x:row r="48" ht="32" customHeight="1">
      <x:c r="A48" s="276" t="str">
        <x:v>MSR - MARPOL IV (SEWAGE) RENEWAL</x:v>
      </x:c>
      <x:c r="B48" s="277" t="str">
        <x:v>Lloyd's Register (LR)</x:v>
      </x:c>
      <x:c r="C48" s="278" t="n">
        <x:v>45324</x:v>
      </x:c>
      <x:c r="D48" s="278"/>
      <x:c r="E48" s="278" t="n">
        <x:v>47150</x:v>
      </x:c>
      <x:c r="F48" s="277" t="str">
        <x:v>02 Nov 2028 - 01 Feb 2029</x:v>
      </x:c>
      <x:c r="G48" s="279" t="str">
        <x:f>IF($E48="","N/A",IF($E48&lt;TODAY(),"OVERDUE / IMMEDIATE",IF($E48&lt;=TODAY()+30,"DARK RED - &lt;1 MONTH",IF($E48&lt;=EDATE(TODAY(),3),"RED - 1 TO 3 MONTHS",IF($E48&lt;=EDATE(TODAY(),4),"YELLOW - 3 TO 4 MONTHS",IF($E48&lt;=EDATE(TODAY(),6),"GREEN - 4 TO 6 MONTHS","MONITOR &gt;6 MONTHS"))))))</x:f>
        <x:v>MONITOR &gt;6 MONTHS</x:v>
      </x:c>
      <x:c r="H48" s="53" t="str">
        <x:v>Not due</x:v>
      </x:c>
    </x:row>
    <x:row r="49" ht="32" customHeight="1">
      <x:c r="A49" s="276" t="str">
        <x:v>MAA - MARPOL VI (AIR) ANNUAL</x:v>
      </x:c>
      <x:c r="B49" s="277" t="str">
        <x:v>Lloyd's Register (LR)</x:v>
      </x:c>
      <x:c r="C49" s="278" t="n">
        <x:v>45789</x:v>
      </x:c>
      <x:c r="D49" s="278"/>
      <x:c r="E49" s="278" t="n">
        <x:v>46055</x:v>
      </x:c>
      <x:c r="F49" s="277" t="str">
        <x:v>03 Nov 2025 - 01 May 2026</x:v>
      </x:c>
      <x:c r="G49" s="279" t="str">
        <x:f>IF($E49="","N/A",IF($E49&lt;TODAY(),"OVERDUE / IMMEDIATE",IF($E49&lt;=TODAY()+30,"DARK RED - &lt;1 MONTH",IF($E49&lt;=EDATE(TODAY(),3),"RED - 1 TO 3 MONTHS",IF($E49&lt;=EDATE(TODAY(),4),"YELLOW - 3 TO 4 MONTHS",IF($E49&lt;=EDATE(TODAY(),6),"GREEN - 4 TO 6 MONTHS","MONITOR &gt;6 MONTHS"))))))</x:f>
        <x:v>OVERDUE / IMMEDIATE</x:v>
      </x:c>
      <x:c r="H49" s="53" t="str">
        <x:v>Imminent</x:v>
      </x:c>
    </x:row>
    <x:row r="50" ht="32" customHeight="1">
      <x:c r="A50" s="276" t="str">
        <x:v>MAI - MARPOL VI (AIR) INTERMEDIATE</x:v>
      </x:c>
      <x:c r="B50" s="277" t="str">
        <x:v>Lloyd's Register (LR)</x:v>
      </x:c>
      <x:c r="C50" s="278" t="n">
        <x:v>45324</x:v>
      </x:c>
      <x:c r="D50" s="278"/>
      <x:c r="E50" s="278" t="n">
        <x:v>46055</x:v>
      </x:c>
      <x:c r="F50" s="277" t="str">
        <x:v>03 Nov 2025 - 01 May 2026</x:v>
      </x:c>
      <x:c r="G50" s="279" t="str">
        <x:f>IF($E50="","N/A",IF($E50&lt;TODAY(),"OVERDUE / IMMEDIATE",IF($E50&lt;=TODAY()+30,"DARK RED - &lt;1 MONTH",IF($E50&lt;=EDATE(TODAY(),3),"RED - 1 TO 3 MONTHS",IF($E50&lt;=EDATE(TODAY(),4),"YELLOW - 3 TO 4 MONTHS",IF($E50&lt;=EDATE(TODAY(),6),"GREEN - 4 TO 6 MONTHS","MONITOR &gt;6 MONTHS"))))))</x:f>
        <x:v>OVERDUE / IMMEDIATE</x:v>
      </x:c>
      <x:c r="H50" s="53" t="str">
        <x:v>Imminent</x:v>
      </x:c>
    </x:row>
    <x:row r="51" ht="32" customHeight="1">
      <x:c r="A51" s="276" t="str">
        <x:v>MAR - MARPOL VI (AIR) RENEWAL</x:v>
      </x:c>
      <x:c r="B51" s="277" t="str">
        <x:v>Lloyd's Register (LR)</x:v>
      </x:c>
      <x:c r="C51" s="278" t="n">
        <x:v>45324</x:v>
      </x:c>
      <x:c r="D51" s="278"/>
      <x:c r="E51" s="278" t="n">
        <x:v>47150</x:v>
      </x:c>
      <x:c r="F51" s="277" t="str">
        <x:v>02 Nov 2028 - 01 Feb 2029</x:v>
      </x:c>
      <x:c r="G51" s="284" t="str">
        <x:f>IF($E51="","N/A",IF($E51&lt;TODAY(),"OVERDUE / IMMEDIATE",IF($E51&lt;=TODAY()+30,"DARK RED - &lt;1 MONTH",IF($E51&lt;=EDATE(TODAY(),3),"RED - 1 TO 3 MONTHS",IF($E51&lt;=EDATE(TODAY(),4),"YELLOW - 3 TO 4 MONTHS",IF($E51&lt;=EDATE(TODAY(),6),"GREEN - 4 TO 6 MONTHS","MONITOR &gt;6 MONTHS"))))))</x:f>
        <x:v>MONITOR &gt;6 MONTHS</x:v>
      </x:c>
      <x:c r="H51" s="53" t="str">
        <x:v>Not due</x:v>
      </x:c>
    </x:row>
    <x:row r="52" ht="32" customHeight="1">
      <x:c r="A52" s="276" t="str">
        <x:v>BWA - BALLAST WATER ANNUAL</x:v>
      </x:c>
      <x:c r="B52" s="277" t="str">
        <x:v>Lloyd's Register (LR)</x:v>
      </x:c>
      <x:c r="C52" s="278" t="n">
        <x:v>45789</x:v>
      </x:c>
      <x:c r="D52" s="278"/>
      <x:c r="E52" s="278" t="n">
        <x:v>46055</x:v>
      </x:c>
      <x:c r="F52" s="277" t="str">
        <x:v>03 Nov 2025 - 01 May 2026</x:v>
      </x:c>
      <x:c r="G52" s="284" t="str">
        <x:f>IF($E52="","N/A",IF($E52&lt;TODAY(),"OVERDUE / IMMEDIATE",IF($E52&lt;=TODAY()+30,"DARK RED - &lt;1 MONTH",IF($E52&lt;=EDATE(TODAY(),3),"RED - 1 TO 3 MONTHS",IF($E52&lt;=EDATE(TODAY(),4),"YELLOW - 3 TO 4 MONTHS",IF($E52&lt;=EDATE(TODAY(),6),"GREEN - 4 TO 6 MONTHS","MONITOR &gt;6 MONTHS"))))))</x:f>
        <x:v>OVERDUE / IMMEDIATE</x:v>
      </x:c>
      <x:c r="H52" s="53" t="str">
        <x:v>Imminent</x:v>
      </x:c>
    </x:row>
    <x:row r="53" ht="32" customHeight="1">
      <x:c r="A53" s="276" t="str">
        <x:v>BWI - BALLAST WATER INTERMEDIATE</x:v>
      </x:c>
      <x:c r="B53" s="277" t="str">
        <x:v>Lloyd's Register (LR)</x:v>
      </x:c>
      <x:c r="C53" s="278" t="n">
        <x:v>45324</x:v>
      </x:c>
      <x:c r="D53" s="278"/>
      <x:c r="E53" s="278" t="n">
        <x:v>46055</x:v>
      </x:c>
      <x:c r="F53" s="277" t="str">
        <x:v>03 Nov 2025 - 01 May 2026</x:v>
      </x:c>
      <x:c r="G53" s="279" t="str">
        <x:f>IF($E53="","N/A",IF($E53&lt;TODAY(),"OVERDUE / IMMEDIATE",IF($E53&lt;=TODAY()+30,"DARK RED - &lt;1 MONTH",IF($E53&lt;=EDATE(TODAY(),3),"RED - 1 TO 3 MONTHS",IF($E53&lt;=EDATE(TODAY(),4),"YELLOW - 3 TO 4 MONTHS",IF($E53&lt;=EDATE(TODAY(),6),"GREEN - 4 TO 6 MONTHS","MONITOR &gt;6 MONTHS"))))))</x:f>
        <x:v>OVERDUE / IMMEDIATE</x:v>
      </x:c>
      <x:c r="H53" s="53" t="str">
        <x:v>Imminent</x:v>
      </x:c>
    </x:row>
    <x:row r="54" ht="32" customHeight="1">
      <x:c r="A54" s="276" t="str">
        <x:v>BWR - BALLAST WATER RENEWAL</x:v>
      </x:c>
      <x:c r="B54" s="277" t="str">
        <x:v>Lloyd's Register (LR)</x:v>
      </x:c>
      <x:c r="C54" s="278" t="n">
        <x:v>45324</x:v>
      </x:c>
      <x:c r="D54" s="278"/>
      <x:c r="E54" s="278" t="n">
        <x:v>47150</x:v>
      </x:c>
      <x:c r="F54" s="277" t="str">
        <x:v>02 Nov 2028 - 01 Feb 2029</x:v>
      </x:c>
      <x:c r="G54" s="279" t="str">
        <x:f>IF($E54="","N/A",IF($E54&lt;TODAY(),"OVERDUE / IMMEDIATE",IF($E54&lt;=TODAY()+30,"DARK RED - &lt;1 MONTH",IF($E54&lt;=EDATE(TODAY(),3),"RED - 1 TO 3 MONTHS",IF($E54&lt;=EDATE(TODAY(),4),"YELLOW - 3 TO 4 MONTHS",IF($E54&lt;=EDATE(TODAY(),6),"GREEN - 4 TO 6 MONTHS","MONITOR &gt;6 MONTHS"))))))</x:f>
        <x:v>MONITOR &gt;6 MONTHS</x:v>
      </x:c>
      <x:c r="H54" s="53" t="str">
        <x:v>Not due</x:v>
      </x:c>
    </x:row>
    <x:row r="55" ht="32" customHeight="1">
      <x:c r="A55" s="276" t="str">
        <x:v>HMA - INVENTORY OF HAZARDOUS MATERIALS ANNUAL</x:v>
      </x:c>
      <x:c r="B55" s="277" t="str">
        <x:v>Lloyd's Register (LR)</x:v>
      </x:c>
      <x:c r="C55" s="278" t="n">
        <x:v>45789</x:v>
      </x:c>
      <x:c r="D55" s="278"/>
      <x:c r="E55" s="278" t="n">
        <x:v>46055</x:v>
      </x:c>
      <x:c r="F55" s="277" t="str">
        <x:v>03 Nov 2025 - 01 May 2026</x:v>
      </x:c>
      <x:c r="G55" s="279" t="str">
        <x:f>IF($E55="","N/A",IF($E55&lt;TODAY(),"OVERDUE / IMMEDIATE",IF($E55&lt;=TODAY()+30,"DARK RED - &lt;1 MONTH",IF($E55&lt;=EDATE(TODAY(),3),"RED - 1 TO 3 MONTHS",IF($E55&lt;=EDATE(TODAY(),4),"YELLOW - 3 TO 4 MONTHS",IF($E55&lt;=EDATE(TODAY(),6),"GREEN - 4 TO 6 MONTHS","MONITOR &gt;6 MONTHS"))))))</x:f>
        <x:v>OVERDUE / IMMEDIATE</x:v>
      </x:c>
      <x:c r="H55" s="53" t="str">
        <x:v>Imminent</x:v>
      </x:c>
    </x:row>
    <x:row r="56" ht="32" customHeight="1">
      <x:c r="A56" s="276" t="str">
        <x:v>HMR - INVENTORY OF HAZARDOUS MATERIALS RENEWAL</x:v>
      </x:c>
      <x:c r="B56" s="277" t="str">
        <x:v>Lloyd's Register (LR)</x:v>
      </x:c>
      <x:c r="C56" s="278" t="n">
        <x:v>45324</x:v>
      </x:c>
      <x:c r="D56" s="278"/>
      <x:c r="E56" s="278" t="n">
        <x:v>47150</x:v>
      </x:c>
      <x:c r="F56" s="277" t="str">
        <x:v>02 Nov 2028 - 01 Feb 2029</x:v>
      </x:c>
      <x:c r="G56" s="281" t="str">
        <x:f>IF($E56="","N/A",IF($E56&lt;TODAY(),"OVERDUE / IMMEDIATE",IF($E56&lt;=TODAY()+30,"DARK RED - &lt;1 MONTH",IF($E56&lt;=EDATE(TODAY(),3),"RED - 1 TO 3 MONTHS",IF($E56&lt;=EDATE(TODAY(),4),"YELLOW - 3 TO 4 MONTHS",IF($E56&lt;=EDATE(TODAY(),6),"GREEN - 4 TO 6 MONTHS","MONITOR &gt;6 MONTHS"))))))</x:f>
        <x:v>MONITOR &gt;6 MONTHS</x:v>
      </x:c>
      <x:c r="H56" s="53" t="str">
        <x:v>Not due</x:v>
      </x:c>
    </x:row>
    <x:row r="57" ht="32" customHeight="1">
      <x:c r="A57" s="276" t="str">
        <x:v>SMCP - ISM INTERMEDIATE</x:v>
      </x:c>
      <x:c r="B57" s="277" t="str">
        <x:v>Lloyd's Register (LR)</x:v>
      </x:c>
      <x:c r="C57" s="278" t="n">
        <x:v>45708</x:v>
      </x:c>
      <x:c r="D57" s="278"/>
      <x:c r="E57" s="278" t="n">
        <x:v>46803</x:v>
      </x:c>
      <x:c r="F57" s="277" t="str">
        <x:v>21 Feb 2027 - 20 Feb 2028</x:v>
      </x:c>
      <x:c r="G57" s="281" t="str">
        <x:f>IF($E57="","N/A",IF($E57&lt;TODAY(),"OVERDUE / IMMEDIATE",IF($E57&lt;=TODAY()+30,"DARK RED - &lt;1 MONTH",IF($E57&lt;=EDATE(TODAY(),3),"RED - 1 TO 3 MONTHS",IF($E57&lt;=EDATE(TODAY(),4),"YELLOW - 3 TO 4 MONTHS",IF($E57&lt;=EDATE(TODAY(),6),"GREEN - 4 TO 6 MONTHS","MONITOR &gt;6 MONTHS"))))))</x:f>
        <x:v>MONITOR &gt;6 MONTHS</x:v>
      </x:c>
      <x:c r="H57" s="53" t="str">
        <x:v>Not due</x:v>
      </x:c>
    </x:row>
    <x:row r="58" ht="32" customHeight="1">
      <x:c r="A58" s="276" t="str">
        <x:v>SMCR - ISM RENEWAL</x:v>
      </x:c>
      <x:c r="B58" s="277" t="str">
        <x:v>Lloyd's Register (LR)</x:v>
      </x:c>
      <x:c r="C58" s="278" t="n">
        <x:v>45708</x:v>
      </x:c>
      <x:c r="D58" s="278"/>
      <x:c r="E58" s="278" t="n">
        <x:v>47533</x:v>
      </x:c>
      <x:c r="F58" s="277" t="str">
        <x:v>20 Nov 2029 - 19 Feb 2030</x:v>
      </x:c>
      <x:c r="G58" s="279" t="str">
        <x:f>IF($E58="","N/A",IF($E58&lt;TODAY(),"OVERDUE / IMMEDIATE",IF($E58&lt;=TODAY()+30,"DARK RED - &lt;1 MONTH",IF($E58&lt;=EDATE(TODAY(),3),"RED - 1 TO 3 MONTHS",IF($E58&lt;=EDATE(TODAY(),4),"YELLOW - 3 TO 4 MONTHS",IF($E58&lt;=EDATE(TODAY(),6),"GREEN - 4 TO 6 MONTHS","MONITOR &gt;6 MONTHS"))))))</x:f>
        <x:v>MONITOR &gt;6 MONTHS</x:v>
      </x:c>
      <x:c r="H58" s="53" t="str">
        <x:v>Not due</x:v>
      </x:c>
    </x:row>
    <x:row r="59" ht="32" customHeight="1">
      <x:c r="A59" s="276" t="str">
        <x:v>ISSP - ISPS INTERMEDIATE</x:v>
      </x:c>
      <x:c r="B59" s="277" t="str">
        <x:v>Lloyd's Register (LR)</x:v>
      </x:c>
      <x:c r="C59" s="278" t="n">
        <x:v>45708</x:v>
      </x:c>
      <x:c r="D59" s="278"/>
      <x:c r="E59" s="278" t="n">
        <x:v>46803</x:v>
      </x:c>
      <x:c r="F59" s="277" t="str">
        <x:v>21 Feb 2027 - 20 Feb 2028</x:v>
      </x:c>
      <x:c r="G59" s="279" t="str">
        <x:f>IF($E59="","N/A",IF($E59&lt;TODAY(),"OVERDUE / IMMEDIATE",IF($E59&lt;=TODAY()+30,"DARK RED - &lt;1 MONTH",IF($E59&lt;=EDATE(TODAY(),3),"RED - 1 TO 3 MONTHS",IF($E59&lt;=EDATE(TODAY(),4),"YELLOW - 3 TO 4 MONTHS",IF($E59&lt;=EDATE(TODAY(),6),"GREEN - 4 TO 6 MONTHS","MONITOR &gt;6 MONTHS"))))))</x:f>
        <x:v>MONITOR &gt;6 MONTHS</x:v>
      </x:c>
      <x:c r="H59" s="53" t="str">
        <x:v>Not due</x:v>
      </x:c>
    </x:row>
    <x:row r="60" ht="32" customHeight="1">
      <x:c r="A60" s="276" t="str">
        <x:v>ISSR - ISPS RENEWAL</x:v>
      </x:c>
      <x:c r="B60" s="277" t="str">
        <x:v>Lloyd's Register (LR)</x:v>
      </x:c>
      <x:c r="C60" s="278" t="n">
        <x:v>45708</x:v>
      </x:c>
      <x:c r="D60" s="278"/>
      <x:c r="E60" s="278" t="n">
        <x:v>47533</x:v>
      </x:c>
      <x:c r="F60" s="277" t="str">
        <x:v>20 Nov 2029 - 19 Feb 2030</x:v>
      </x:c>
      <x:c r="G60" s="279" t="str">
        <x:f>IF($E60="","N/A",IF($E60&lt;TODAY(),"OVERDUE / IMMEDIATE",IF($E60&lt;=TODAY()+30,"DARK RED - &lt;1 MONTH",IF($E60&lt;=EDATE(TODAY(),3),"RED - 1 TO 3 MONTHS",IF($E60&lt;=EDATE(TODAY(),4),"YELLOW - 3 TO 4 MONTHS",IF($E60&lt;=EDATE(TODAY(),6),"GREEN - 4 TO 6 MONTHS","MONITOR &gt;6 MONTHS"))))))</x:f>
        <x:v>MONITOR &gt;6 MONTHS</x:v>
      </x:c>
      <x:c r="H60" s="53" t="str">
        <x:v>Not due</x:v>
      </x:c>
    </x:row>
    <x:row r="61" ht="32" customHeight="1">
      <x:c r="A61" s="285" t="str">
        <x:v>MLCP - MLC INTERMEDIATE</x:v>
      </x:c>
      <x:c r="B61" s="286" t="str">
        <x:v>Lloyd's Register (LR)</x:v>
      </x:c>
      <x:c r="C61" s="287" t="n">
        <x:v>45708</x:v>
      </x:c>
      <x:c r="D61" s="287"/>
      <x:c r="E61" s="287" t="n">
        <x:v>46803</x:v>
      </x:c>
      <x:c r="F61" s="286" t="str">
        <x:v>21 Feb 2027 - 20 Feb 2028</x:v>
      </x:c>
      <x:c r="G61" s="288" t="str">
        <x:f>IF($E61="","N/A",IF($E61&lt;TODAY(),"OVERDUE / IMMEDIATE",IF($E61&lt;=TODAY()+30,"DARK RED - &lt;1 MONTH",IF($E61&lt;=EDATE(TODAY(),3),"RED - 1 TO 3 MONTHS",IF($E61&lt;=EDATE(TODAY(),4),"YELLOW - 3 TO 4 MONTHS",IF($E61&lt;=EDATE(TODAY(),6),"GREEN - 4 TO 6 MONTHS","MONITOR &gt;6 MONTHS"))))))</x:f>
        <x:v>MONITOR &gt;6 MONTHS</x:v>
      </x:c>
      <x:c r="H61" s="53" t="str">
        <x:v>Not due</x:v>
      </x:c>
    </x:row>
    <x:row r="62">
      <x:c r="A62" t="str">
        <x:v>MLCR - MLC RENEWAL</x:v>
      </x:c>
      <x:c r="B62" t="str">
        <x:v>Lloyd's Register (LR)</x:v>
      </x:c>
      <x:c r="C62" t="n">
        <x:v>45708</x:v>
      </x:c>
      <x:c r="D62"/>
      <x:c r="E62" t="n">
        <x:v>47533</x:v>
      </x:c>
      <x:c r="F62" t="str">
        <x:v>20 Nov 2029 - 19 Feb 2030</x:v>
      </x:c>
      <x:c r="G62"/>
      <x:c r="H62" t="str">
        <x:v>Not due</x:v>
      </x:c>
    </x:row>
  </x:sheetData>
  <x:mergeCells>
    <x:mergeCell ref="A1:F1"/>
    <x:mergeCell ref="A37:F37"/>
    <x:mergeCell ref="A6:F6"/>
    <x:mergeCell ref="A6:G6"/>
    <x:mergeCell ref="A1:G1"/>
    <x:mergeCell ref="A37:G37"/>
    <x:mergeCell ref="A1:H1"/>
    <x:mergeCell ref="A7:H7"/>
    <x:mergeCell ref="A24:H24"/>
  </x:mergeCells>
  <x:conditionalFormatting sqref="D8:D61">
    <x:cfRule type="expression" dxfId="0" priority="1">
      <x:formula>AND(ISNUMBER(D8),D8&lt;TODAY())</x:formula>
    </x:cfRule>
    <x:cfRule type="expression" dxfId="1" priority="2">
      <x:formula>AND(ISNUMBER(D8),D8-TODAY()&lt;=30,D8&gt;=TODAY())</x:formula>
    </x:cfRule>
    <x:cfRule type="expression" dxfId="2" priority="3">
      <x:formula>AND(ISNUMBER(D8),D8-TODAY()&lt;=90,D8-TODAY()&gt;30)</x:formula>
    </x:cfRule>
    <x:cfRule type="expression" dxfId="3" priority="4">
      <x:formula>AND(ISNUMBER(D8),D8-TODAY()&lt;=180,D8-TODAY()&gt;90)</x:formula>
    </x:cfRule>
    <x:cfRule type="expression" dxfId="4" priority="5">
      <x:formula>AND(ISNUMBER(D8),D8-TODAY()&gt;180)</x:formula>
    </x:cfRule>
  </x:conditionalFormatting>
  <x:conditionalFormatting sqref="E8:E61">
    <x:cfRule type="expression" dxfId="5" priority="6">
      <x:formula>AND(ISNUMBER(E8),E8&lt;TODAY())</x:formula>
    </x:cfRule>
    <x:cfRule type="expression" dxfId="6" priority="7">
      <x:formula>AND(ISNUMBER(E8),E8-TODAY()&lt;=30,E8&gt;=TODAY())</x:formula>
    </x:cfRule>
    <x:cfRule type="expression" dxfId="7" priority="8">
      <x:formula>AND(ISNUMBER(E8),E8-TODAY()&lt;=90,E8-TODAY()&gt;30)</x:formula>
    </x:cfRule>
    <x:cfRule type="expression" dxfId="8" priority="9">
      <x:formula>AND(ISNUMBER(E8),E8-TODAY()&lt;=180,E8-TODAY()&gt;90)</x:formula>
    </x:cfRule>
    <x:cfRule type="expression" dxfId="9" priority="10">
      <x:formula>AND(ISNUMBER(E8),E8-TODAY()&gt;180)</x:formula>
    </x:cfRule>
  </x:conditionalFormatting>
  <x:conditionalFormatting sqref="A8:G200">
    <x:cfRule type="expression" dxfId="18" priority="15">
      <x:formula>$G8="GREEN - 4 TO 6 MONTHS"</x:formula>
    </x:cfRule>
    <x:cfRule type="expression" dxfId="19" priority="16">
      <x:formula>$G8="YELLOW - 3 TO 4 MONTHS"</x:formula>
    </x:cfRule>
    <x:cfRule type="expression" dxfId="20" priority="17">
      <x:formula>$G8="RED - 1 TO 3 MONTHS"</x:formula>
    </x:cfRule>
    <x:cfRule type="expression" dxfId="21" priority="18">
      <x:formula>OR(ISNUMBER(SEARCH("DARK",$G8)),ISNUMBER(SEARCH("OVERDUE",$G8)),ISNUMBER(SEARCH("LESS THAN 1",$G8)))</x:formula>
    </x:cfRule>
    <x:cfRule type="expression" dxfId="22" priority="19">
      <x:formula>$G8="N/A"</x:formula>
    </x:cfRule>
  </x:conditionalFormatting>
  <x:conditionalFormatting sqref="G8:G61">
    <x:cfRule type="expression" dxfId="23" priority="20">
      <x:formula>ISNUMBER(SEARCH("GREEN",G8))</x:formula>
    </x:cfRule>
    <x:cfRule type="expression" dxfId="24" priority="21">
      <x:formula>ISNUMBER(SEARCH("YELLOW",G8))</x:formula>
    </x:cfRule>
    <x:cfRule type="expression" dxfId="25" priority="22">
      <x:formula>ISNUMBER(SEARCH("RED",G8))</x:formula>
    </x:cfRule>
    <x:cfRule type="expression" dxfId="26" priority="23">
      <x:formula>ISNUMBER(SEARCH("N/A",G8))</x:formula>
    </x:cfRule>
  </x:conditionalFormatting>
  <x:conditionalFormatting sqref="G9:G61">
    <x:cfRule type="expression" dxfId="27" priority="24">
      <x:formula>LEFT($G9,7)="OVERDUE"</x:formula>
    </x:cfRule>
    <x:cfRule type="expression" dxfId="28" priority="25">
      <x:formula>LEFT($G9,8)="DARK RED"</x:formula>
    </x:cfRule>
    <x:cfRule type="expression" dxfId="29" priority="26">
      <x:formula>LEFT($G9,3)="RED"</x:formula>
    </x:cfRule>
    <x:cfRule type="expression" dxfId="30" priority="27">
      <x:formula>LEFT($G9,6)="YELLOW"</x:formula>
    </x:cfRule>
    <x:cfRule type="expression" dxfId="31" priority="28">
      <x:formula>LEFT($G9,5)="GREEN"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b1fe93b54ce84074"/>
    <x:tablePart xmlns:r="http://schemas.openxmlformats.org/officeDocument/2006/relationships" r:id="R7b39a36ee519464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80" hidden="0" customWidth="1"/>
  </x:cols>
  <x:sheetData>
    <x:row r="1" ht="28" customHeight="1">
      <x:c r="A1" s="200" t="str">
        <x:v>MT TREND - LR ACTIONABLE ITEMS / ADVICE TO OWNERS</x:v>
      </x:c>
      <x:c r="B1" s="200"/>
      <x:c r="C1" s="200"/>
      <x:c r="D1" s="200"/>
      <x:c r="E1" s="200"/>
      <x:c r="F1" s="200"/>
    </x:row>
    <x:row r="2">
      <x:c r="A2" s="35" t="str">
        <x:v>Source</x:v>
      </x:c>
      <x:c r="B2" s="35" t="str">
        <x:v>LR Survey Status Report dated 01 May 2026</x:v>
      </x:c>
      <x:c r="C2" s="35"/>
      <x:c r="D2" s="35"/>
      <x:c r="E2" s="35"/>
      <x:c r="F2" s="35"/>
    </x:row>
    <x:row r="3" ht="45" customHeight="1">
      <x:c r="A3" s="230" t="str">
        <x:v>ID</x:v>
      </x:c>
      <x:c r="B3" s="230" t="str">
        <x:v>Imposed Date</x:v>
      </x:c>
      <x:c r="C3" s="230" t="str">
        <x:v>Category</x:v>
      </x:c>
      <x:c r="D3" s="230" t="str">
        <x:v>Report Number</x:v>
      </x:c>
      <x:c r="E3" s="230" t="str">
        <x:v>Due Date</x:v>
      </x:c>
      <x:c r="F3" s="230" t="str">
        <x:v>Description / Required Action</x:v>
      </x:c>
    </x:row>
    <x:row r="4" ht="45" customHeight="1">
      <x:c r="A4" s="35" t="str">
        <x:v>AI-C-002</x:v>
      </x:c>
      <x:c r="B4" s="272" t="n">
        <x:v>44182</x:v>
      </x:c>
      <x:c r="C4" s="35" t="str">
        <x:v>Class</x:v>
      </x:c>
      <x:c r="D4" s="35" t="str">
        <x:v>2293742</x:v>
      </x:c>
      <x:c r="E4" s="272"/>
      <x:c r="F4" s="35" t="str">
        <x:v>Loading Instrument (C).</x:v>
      </x:c>
    </x:row>
    <x:row r="5" ht="45" customHeight="1">
      <x:c r="A5" s="35" t="str">
        <x:v>AI-C-003</x:v>
      </x:c>
      <x:c r="B5" s="272" t="n">
        <x:v>44182</x:v>
      </x:c>
      <x:c r="C5" s="35" t="str">
        <x:v>Class</x:v>
      </x:c>
      <x:c r="D5" s="35" t="str">
        <x:v>2227139</x:v>
      </x:c>
      <x:c r="E5" s="272"/>
      <x:c r="F5" s="35" t="str">
        <x:v>Enhanced Survey Procedure (ESP) applicable to this ship. Approved planning document to be available onboard prior to commencement of ITMS/SS; close-up survey, thickness measurements, coating/anodes condition to be reported on completion.</x:v>
      </x:c>
    </x:row>
    <x:row r="6" ht="45" customHeight="1">
      <x:c r="A6" s="35" t="str">
        <x:v>CHZ</x:v>
      </x:c>
      <x:c r="B6" s="272" t="n">
        <x:v>46106</x:v>
      </x:c>
      <x:c r="C6" s="35" t="str">
        <x:v>Class</x:v>
      </x:c>
      <x:c r="D6" s="35" t="str">
        <x:v>-</x:v>
      </x:c>
      <x:c r="E6" s="272"/>
      <x:c r="F6" s="35" t="str">
        <x:v>Residual deck buckling assessment calculations applicable for ongoing compliance to IACS UR S11 for oil tankers starting from SSII onwards.</x:v>
      </x:c>
    </x:row>
    <x:row r="7" ht="45" customHeight="1">
      <x:c r="A7" s="35" t="str">
        <x:v>DCT</x:v>
      </x:c>
      <x:c r="B7" s="272" t="n">
        <x:v>45846</x:v>
      </x:c>
      <x:c r="C7" s="35" t="str">
        <x:v>Statutory</x:v>
      </x:c>
      <x:c r="D7" s="35" t="str">
        <x:v>-</x:v>
      </x:c>
      <x:c r="E7" s="272" t="n">
        <x:v>46022</x:v>
      </x:c>
      <x:c r="F7" s="35" t="str">
        <x:v>MARPOL Annex VI Reg.27: Ship to be provided with re-approved SEEMP Part II and Confirmation of Compliance including new methodologies for collecting fuel oil consumption data complying with MEPC.395(82) as amended by MEPC.401(83).</x:v>
      </x:c>
    </x:row>
    <x:row r="8" ht="45" customHeight="1">
      <x:c r="A8" s="35" t="str">
        <x:v>DCU</x:v>
      </x:c>
      <x:c r="B8" s="272" t="n">
        <x:v>45942</x:v>
      </x:c>
      <x:c r="C8" s="35" t="str">
        <x:v>Statutory</x:v>
      </x:c>
      <x:c r="D8" s="35" t="str">
        <x:v>-</x:v>
      </x:c>
      <x:c r="E8" s="272" t="n">
        <x:v>46022</x:v>
      </x:c>
      <x:c r="F8" s="35" t="str">
        <x:v>MARPOL Annex VI Reg.28: Where SEEMP Part III implementation plan expires in 2025, ship to be provided with re-approved SEEMP Part III and Confirmation of Compliance including implementation plan for MEPC.400(83) CII reduction factors.</x:v>
      </x:c>
    </x:row>
    <x:row r="9" ht="45" customHeight="1">
      <x:c r="A9" s="35" t="str">
        <x:v>LIF</x:v>
      </x:c>
      <x:c r="B9" s="272" t="n">
        <x:v>45867</x:v>
      </x:c>
      <x:c r="C9" s="35" t="str">
        <x:v>Statutory</x:v>
      </x:c>
      <x:c r="D9" s="35" t="str">
        <x:v>-</x:v>
      </x:c>
      <x:c r="E9" s="272"/>
      <x:c r="F9" s="35" t="str">
        <x:v>No later than first Cargo Ship Safety Construction renewal survey on or after 01 Jan 2026: confirm onboard lifting appliances load tested, thoroughly examined, permanently marked, and manuals provided onboard.</x:v>
      </x:c>
    </x:row>
    <x:row r="10" ht="45" customHeight="1">
      <x:c r="A10" s="35" t="str">
        <x:v>MAK</x:v>
      </x:c>
      <x:c r="B10" s="272" t="n">
        <x:v>45821</x:v>
      </x:c>
      <x:c r="C10" s="35" t="str">
        <x:v>Statutory</x:v>
      </x:c>
      <x:c r="D10" s="35" t="str">
        <x:v>-</x:v>
      </x:c>
      <x:c r="E10" s="272"/>
      <x:c r="F10" s="35" t="str">
        <x:v>After 01 Mar 2026, no later than next reissuance of IAPP Certificate, IAPP Record Form 2177 to be reissued to reflect changes to Section 1.3.</x:v>
      </x:c>
    </x:row>
    <x:row r="11" ht="45" customHeight="1">
      <x:c r="A11" s="35" t="str">
        <x:v>PFO</x:v>
      </x:c>
      <x:c r="B11" s="272" t="n">
        <x:v>45923</x:v>
      </x:c>
      <x:c r="C11" s="35" t="str">
        <x:v>Statutory</x:v>
      </x:c>
      <x:c r="D11" s="35" t="str">
        <x:v>-</x:v>
      </x:c>
      <x:c r="E11" s="272"/>
      <x:c r="F11" s="35" t="str">
        <x:v>During first next onboard survey after 01 Jan 2026: verify firefighting foams containing PFOS above 10 mg/kg are not used or stored onboard.</x:v>
      </x:c>
    </x:row>
    <x:row r="12" ht="45" customHeight="1">
      <x:c r="A12" s="35" t="str">
        <x:v>SEA</x:v>
      </x:c>
      <x:c r="B12" s="272" t="n">
        <x:v>45979</x:v>
      </x:c>
      <x:c r="C12" s="35" t="str">
        <x:v>Statutory</x:v>
      </x:c>
      <x:c r="D12" s="35" t="str">
        <x:v>-</x:v>
      </x:c>
      <x:c r="E12" s="272"/>
      <x:c r="F12" s="35" t="str">
        <x:v>After 01 Jan 2026 and no later than next renewal survey: Cargo Ship Safety Equipment Certificate / Record of Equipment to be reissued to reflect amended entries for immersion suits and electronic inclinometers, where applicable.</x:v>
      </x:c>
    </x:row>
    <x:row r="13" ht="45" customHeight="1">
      <x:c r="A13" s="35" t="str">
        <x:v>Advice to Owners</x:v>
      </x:c>
      <x:c r="B13" s="272"/>
      <x:c r="C13" s="35" t="str">
        <x:v>Class / Statutory</x:v>
      </x:c>
      <x:c r="D13" s="35"/>
      <x:c r="E13" s="272"/>
      <x:c r="F13" s="35" t="str">
        <x:v>Annual or Intermediate Survey must be completed within 3 months of due date. Other periodical surveys and conditions of class should be dealt with by due date unless postponed by agreement. Non-compliance may jeopardise Class and statutory certificates.</x:v>
      </x:c>
    </x:row>
  </x:sheetData>
  <x:mergeCells>
    <x:mergeCell ref="A1:F1"/>
    <x:mergeCell ref="B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200" t="str">
        <x:v>MT TREND - SURVEY STATUS SUMMARY</x:v>
      </x:c>
      <x:c r="B1" s="200"/>
      <x:c r="C1" s="200"/>
      <x:c r="D1" s="200"/>
      <x:c r="E1" s="200"/>
      <x:c r="F1" s="200"/>
    </x:row>
    <x:row r="2">
      <x:c r="A2" s="230" t="str">
        <x:v>LR Number</x:v>
      </x:c>
      <x:c r="B2" s="230" t="str">
        <x:v>9477177</x:v>
      </x:c>
      <x:c r="C2" s="230" t="str">
        <x:v>Report Date</x:v>
      </x:c>
      <x:c r="D2" s="289" t="n">
        <x:v>46143</x:v>
      </x:c>
      <x:c r="E2" s="230" t="str">
        <x:v>Overall Status</x:v>
      </x:c>
      <x:c r="F2" s="230" t="str">
        <x:v>Imminent</x:v>
      </x:c>
    </x:row>
    <x:row r="3">
      <x:c r="A3" s="290" t="str">
        <x:v>Immediate / overdue due date items</x:v>
      </x:c>
      <x:c r="B3" s="291"/>
      <x:c r="C3" s="291"/>
      <x:c r="D3" s="291"/>
      <x:c r="E3" s="291"/>
      <x:c r="F3" s="291"/>
    </x:row>
    <x:row r="4">
      <x:c r="A4" s="290" t="str">
        <x:v>Due date 02 Feb 2026</x:v>
      </x:c>
      <x:c r="B4" s="291" t="str">
        <x:v>AS, PLI, SCA, SCI, SEA, SEI, RTP, MOA, MOI, MAA, MAI, BWA, BWI, HMA</x:v>
      </x:c>
      <x:c r="C4" s="291"/>
      <x:c r="D4" s="291"/>
      <x:c r="E4" s="291"/>
      <x:c r="F4" s="291"/>
    </x:row>
    <x:row r="5">
      <x:c r="A5" s="290" t="str">
        <x:v>Survey window closed 01 May 2026</x:v>
      </x:c>
      <x:c r="B5" s="291" t="str">
        <x:v>Annual / statutory periodical items shown as Imminent in LR status</x:v>
      </x:c>
      <x:c r="C5" s="291"/>
      <x:c r="D5" s="291"/>
      <x:c r="E5" s="291"/>
      <x:c r="F5" s="291"/>
    </x:row>
    <x:row r="6">
      <x:c r="A6" s="292" t="str">
        <x:v>Due Soon</x:v>
      </x:c>
      <x:c r="B6" s="293" t="str">
        <x:v>ITSS - Hull Intermediate due 02 Feb 2027 with window 03 Nov 2025 - 01 May 2027</x:v>
      </x:c>
      <x:c r="C6" s="293"/>
      <x:c r="D6" s="293"/>
      <x:c r="E6" s="293"/>
      <x:c r="F6" s="293"/>
    </x:row>
    <x:row r="7">
      <x:c r="A7" s="294" t="str">
        <x:v>Next periodical items</x:v>
      </x:c>
      <x:c r="B7" s="295" t="str">
        <x:v>BTMS/ABS1 due 07 Jan 2027; ISM/ISPS/MLC Intermediate due 20 Feb 2028</x:v>
      </x:c>
      <x:c r="C7" s="295"/>
      <x:c r="D7" s="295"/>
      <x:c r="E7" s="295"/>
      <x:c r="F7" s="295"/>
    </x:row>
    <x:row r="8">
      <x:c r="A8" s="294" t="str">
        <x:v>Actionable items</x:v>
      </x:c>
      <x:c r="B8" s="295" t="str">
        <x:v>Separate sheet added with LR actionable items and owner advice.</x:v>
      </x:c>
      <x:c r="C8" s="295"/>
      <x:c r="D8" s="295"/>
      <x:c r="E8" s="295"/>
      <x:c r="F8" s="295"/>
    </x:row>
  </x:sheetData>
  <x:mergeCells>
    <x:mergeCell ref="A1:F1"/>
    <x:mergeCell ref="B3:F3"/>
    <x:mergeCell ref="B4:F4"/>
    <x:mergeCell ref="B5:F5"/>
    <x:mergeCell ref="B6:F6"/>
    <x:mergeCell ref="B7:F7"/>
    <x:mergeCell ref="B8:F8"/>
  </x:mergeCells>
  <x:pageMargins left="0.7" right="0.7" top="0.75" bottom="0.75" header="0.3" footer="0.3"/>
</x:worksheet>
</file>